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wp8798rh_minnstate_edu/Documents/GitHub/eprof1/MIS362_AI/Formative07/"/>
    </mc:Choice>
  </mc:AlternateContent>
  <xr:revisionPtr revIDLastSave="12" documentId="11_FF522B301768E00CC1547C0DC55965071E571770" xr6:coauthVersionLast="47" xr6:coauthVersionMax="47" xr10:uidLastSave="{57AAFF9A-BF1E-4055-9BA1-848AE649FDB4}"/>
  <bookViews>
    <workbookView xWindow="-108" yWindow="-108" windowWidth="23256" windowHeight="13896" xr2:uid="{00000000-000D-0000-FFFF-FFFF00000000}"/>
  </bookViews>
  <sheets>
    <sheet name="1-ChannelConvenience" sheetId="1" r:id="rId1"/>
    <sheet name="2-MobileCheckout" sheetId="2" r:id="rId2"/>
    <sheet name="3-ServiceData" sheetId="3" r:id="rId3"/>
    <sheet name="4-PrivacyControls" sheetId="4" r:id="rId4"/>
    <sheet name="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E8" i="2" s="1"/>
  <c r="C8" i="2"/>
  <c r="D7" i="2"/>
  <c r="E7" i="2" s="1"/>
  <c r="C7" i="2"/>
  <c r="E6" i="2"/>
  <c r="D6" i="2"/>
  <c r="C6" i="2"/>
  <c r="D5" i="2"/>
  <c r="E5" i="2" s="1"/>
  <c r="C5" i="2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</calcChain>
</file>

<file path=xl/sharedStrings.xml><?xml version="1.0" encoding="utf-8"?>
<sst xmlns="http://schemas.openxmlformats.org/spreadsheetml/2006/main" count="207" uniqueCount="202">
  <si>
    <t>SmartBean Commerce Channels — Customer Convenience</t>
  </si>
  <si>
    <t>Compare in-store purchase, mobile pickup, and SmartBean delivery from the customer's perspective. Use the weighted ratings to organize your reasoning; the score supports, but does not replace, judgment.</t>
  </si>
  <si>
    <t>Convenience Criterion</t>
  </si>
  <si>
    <t>Weight</t>
  </si>
  <si>
    <t>In-Store Rating</t>
  </si>
  <si>
    <t>Mobile Pickup Rating</t>
  </si>
  <si>
    <t>SmartBean Delivery Rating</t>
  </si>
  <si>
    <t>In-Store Weighted</t>
  </si>
  <si>
    <t>Mobile Pickup Weighted</t>
  </si>
  <si>
    <t>Delivery Weighted</t>
  </si>
  <si>
    <t>Why It Matters</t>
  </si>
  <si>
    <t>Student Notes</t>
  </si>
  <si>
    <t>Speed and predictability</t>
  </si>
  <si>
    <t>Customers value a reliable completion time.</t>
  </si>
  <si>
    <t>Low customer effort</t>
  </si>
  <si>
    <t>Travel, waiting, and ordering effort affect convenience.</t>
  </si>
  <si>
    <t>Order customization</t>
  </si>
  <si>
    <t>Customers may need substitutions or detailed choices.</t>
  </si>
  <si>
    <t>Access from anywhere</t>
  </si>
  <si>
    <t>Mobile channels extend access beyond the café.</t>
  </si>
  <si>
    <t>Immediate product handoff</t>
  </si>
  <si>
    <t>Some customers value receiving the order immediately.</t>
  </si>
  <si>
    <t>Low dependence on app/network</t>
  </si>
  <si>
    <t>Technology failure can interrupt mobile commerce.</t>
  </si>
  <si>
    <t>Total</t>
  </si>
  <si>
    <t>Interpretation: A higher score indicates stronger customer convenience under these assumptions. Different customers or situations may justify a different channel.</t>
  </si>
  <si>
    <t>SmartBean Mobile Checkout Funnel</t>
  </si>
  <si>
    <t>Review where customers leave SmartBean's mobile ordering process. The largest drop-off may identify the best place to improve convenience.</t>
  </si>
  <si>
    <t>Stage</t>
  </si>
  <si>
    <t>Customers Reaching Stage</t>
  </si>
  <si>
    <t>Customers Lost Before Next Stage</t>
  </si>
  <si>
    <t>Stage Conversion Rate</t>
  </si>
  <si>
    <t>Stage Drop-off Rate</t>
  </si>
  <si>
    <t>Possible Friction</t>
  </si>
  <si>
    <t>Suggested Improvement</t>
  </si>
  <si>
    <t>Student Priority</t>
  </si>
  <si>
    <t>Student Reason</t>
  </si>
  <si>
    <t>Website/App visits</t>
  </si>
  <si>
    <t>Slow loading or unclear start</t>
  </si>
  <si>
    <t>Improve mobile speed and call-to-action</t>
  </si>
  <si>
    <t>Menu viewed</t>
  </si>
  <si>
    <t>Hard-to-find products or unclear prices</t>
  </si>
  <si>
    <t>Simplify categories and show availability</t>
  </si>
  <si>
    <t>Item added to cart</t>
  </si>
  <si>
    <t>Customization or account requirements</t>
  </si>
  <si>
    <t>Reduce steps and allow guest checkout</t>
  </si>
  <si>
    <t>Checkout started</t>
  </si>
  <si>
    <t>Unexpected fees or payment friction</t>
  </si>
  <si>
    <t>Show total earlier and simplify payment</t>
  </si>
  <si>
    <t>Purchase completed</t>
  </si>
  <si>
    <t>Final completed stage</t>
  </si>
  <si>
    <t>Confirm order and pickup/delivery status</t>
  </si>
  <si>
    <t>Use the count and percentage results together. A large drop-off count may affect many customers, while a high drop-off rate may reveal a particularly difficult stage.</t>
  </si>
  <si>
    <t>SmartBean Mobile-Commerce Service Data</t>
  </si>
  <si>
    <t>Inspect the sample JSON response. The mobile application can use the fields to show availability, price, pickup time, and ordering status without embedding those values directly in every webpage.</t>
  </si>
  <si>
    <t>{
  "storeId": "SB-MAIN",
  "item": "Mocha",
  "available": true,
  "price": 5.25,
  "pickupMinutes": 12,
  "mobileOrdering": true
}</t>
  </si>
  <si>
    <t>JSON Field</t>
  </si>
  <si>
    <t>Value</t>
  </si>
  <si>
    <t>How the Mobile App Uses It</t>
  </si>
  <si>
    <t>Customer Benefit</t>
  </si>
  <si>
    <t>What If Missing or Invalid?</t>
  </si>
  <si>
    <t>Student Interpretation</t>
  </si>
  <si>
    <t>Service Owner</t>
  </si>
  <si>
    <t>Control</t>
  </si>
  <si>
    <t>storeId</t>
  </si>
  <si>
    <t>SB-MAIN</t>
  </si>
  <si>
    <t>Identifies the selected café</t>
  </si>
  <si>
    <t>Prevents ordering from the wrong location</t>
  </si>
  <si>
    <t>Ask customer to select a store</t>
  </si>
  <si>
    <t>Location service</t>
  </si>
  <si>
    <t>Validate against active stores</t>
  </si>
  <si>
    <t>item</t>
  </si>
  <si>
    <t>Mocha</t>
  </si>
  <si>
    <t>Names the product</t>
  </si>
  <si>
    <t>Shows the selected product</t>
  </si>
  <si>
    <t>Do not add an unknown item</t>
  </si>
  <si>
    <t>Menu service</t>
  </si>
  <si>
    <t>Use approved product IDs</t>
  </si>
  <si>
    <t>available</t>
  </si>
  <si>
    <t>Enables or disables ordering</t>
  </si>
  <si>
    <t>Avoids ordering unavailable products</t>
  </si>
  <si>
    <t>Show unavailable and suggest alternatives</t>
  </si>
  <si>
    <t>Inventory service</t>
  </si>
  <si>
    <t>Refresh before checkout</t>
  </si>
  <si>
    <t>price</t>
  </si>
  <si>
    <t>Displays and calculates the price</t>
  </si>
  <si>
    <t>Shows cost before purchase</t>
  </si>
  <si>
    <t>Block checkout until a valid price is returned</t>
  </si>
  <si>
    <t>Pricing service</t>
  </si>
  <si>
    <t>Confirm price at checkout</t>
  </si>
  <si>
    <t>pickupMinutes</t>
  </si>
  <si>
    <t>Shows estimated preparation time</t>
  </si>
  <si>
    <t>Helps customer plan pickup</t>
  </si>
  <si>
    <t>Show that estimate is temporarily unavailable</t>
  </si>
  <si>
    <t>Order service</t>
  </si>
  <si>
    <t>Label as an estimate</t>
  </si>
  <si>
    <t>mobileOrdering</t>
  </si>
  <si>
    <t>Controls whether ordering is enabled</t>
  </si>
  <si>
    <t>Avoids failed order attempts</t>
  </si>
  <si>
    <t>Disable ordering and explain why</t>
  </si>
  <si>
    <t>Commerce service</t>
  </si>
  <si>
    <t>Fail safely</t>
  </si>
  <si>
    <t>A web service separates current business data from the screen that displays it. The same service can support a website, mobile app, kiosk, or other approved interface.</t>
  </si>
  <si>
    <t>SmartBean Mobile-Commerce Privacy and Trust Controls</t>
  </si>
  <si>
    <t>Review controls that protect customers while preserving useful mobile-commerce features. SmartBean should collect only the information needed for the service the customer chooses.</t>
  </si>
  <si>
    <t>Feature or Risk</t>
  </si>
  <si>
    <t>Recommended Control</t>
  </si>
  <si>
    <t>Customer Convenience</t>
  </si>
  <si>
    <t>Privacy or Trust Benefit</t>
  </si>
  <si>
    <t>What Happens If Declined or Failed?</t>
  </si>
  <si>
    <t>Priority (1–5)</t>
  </si>
  <si>
    <t>Owner</t>
  </si>
  <si>
    <t>Nearest-store location</t>
  </si>
  <si>
    <t>Request approximate location only when needed</t>
  </si>
  <si>
    <t>Finds a nearby café</t>
  </si>
  <si>
    <t>Reduces unnecessary precision</t>
  </si>
  <si>
    <t>Allow manual store selection</t>
  </si>
  <si>
    <t>Digital commerce</t>
  </si>
  <si>
    <t>Precise location</t>
  </si>
  <si>
    <t>Do not request unless a feature truly requires it</t>
  </si>
  <si>
    <t>May improve certain location features</t>
  </si>
  <si>
    <t>Avoids excessive collection</t>
  </si>
  <si>
    <t>Use approximate location or manual entry</t>
  </si>
  <si>
    <t>Privacy</t>
  </si>
  <si>
    <t>Payment information</t>
  </si>
  <si>
    <t>Use an approved payment service and avoid storing raw card data</t>
  </si>
  <si>
    <t>Supports fast checkout</t>
  </si>
  <si>
    <t>Reduces exposure of sensitive data</t>
  </si>
  <si>
    <t>Offer another approved payment method</t>
  </si>
  <si>
    <t>Finance/IT</t>
  </si>
  <si>
    <t>Order confirmation</t>
  </si>
  <si>
    <t>Require clear review and confirmation before purchase</t>
  </si>
  <si>
    <t>Reduces mistakes</t>
  </si>
  <si>
    <t>Prevents unintended transactions</t>
  </si>
  <si>
    <t>Keep cart available for correction</t>
  </si>
  <si>
    <t>Service failure</t>
  </si>
  <si>
    <t>Fail safely and show a clear message</t>
  </si>
  <si>
    <t>Explains what happened</t>
  </si>
  <si>
    <t>Avoids duplicate or uncertain orders</t>
  </si>
  <si>
    <t>Do not charge until status is confirmed</t>
  </si>
  <si>
    <t>IT/Operations</t>
  </si>
  <si>
    <t>Customer account</t>
  </si>
  <si>
    <t>Collect only necessary profile data</t>
  </si>
  <si>
    <t>Speeds repeat orders</t>
  </si>
  <si>
    <t>Limits impact of a breach</t>
  </si>
  <si>
    <t>Allow guest checkout where practical</t>
  </si>
  <si>
    <t>Location history</t>
  </si>
  <si>
    <t>Do not retain unless clearly justified and disclosed</t>
  </si>
  <si>
    <t>May support repeat-location features</t>
  </si>
  <si>
    <t>Reduces tracking risk</t>
  </si>
  <si>
    <t>Remember selected store without storing movement history</t>
  </si>
  <si>
    <t>The live browser geolocation demonstration is for observation only. Do not copy coordinates into the workbook or webpage answers.</t>
  </si>
  <si>
    <t>Reference: E-Commerce, Mobile Commerce, and Web Services</t>
  </si>
  <si>
    <t>Concept</t>
  </si>
  <si>
    <t>Meaning</t>
  </si>
  <si>
    <t>SmartBean Example</t>
  </si>
  <si>
    <t>Important Limitation or Control</t>
  </si>
  <si>
    <t>E-commerce</t>
  </si>
  <si>
    <t>Buying and selling through digital networks</t>
  </si>
  <si>
    <t>Ordering from SmartBean's website</t>
  </si>
  <si>
    <t>Convenient access to products</t>
  </si>
  <si>
    <t>The full process must be reliable and trustworthy</t>
  </si>
  <si>
    <t>Mobile commerce</t>
  </si>
  <si>
    <t>E-commerce using a mobile device</t>
  </si>
  <si>
    <t>Ordering and paying from a phone</t>
  </si>
  <si>
    <t>Order from almost anywhere</t>
  </si>
  <si>
    <t>Small screens, connectivity, permissions, and security matter</t>
  </si>
  <si>
    <t>In-store channel</t>
  </si>
  <si>
    <t>Customer orders and receives the product at the café</t>
  </si>
  <si>
    <t>Counter purchase</t>
  </si>
  <si>
    <t>Immediate interaction and handoff</t>
  </si>
  <si>
    <t>Requires travel and possible waiting</t>
  </si>
  <si>
    <t>Mobile pickup</t>
  </si>
  <si>
    <t>Customer orders remotely and collects at the café</t>
  </si>
  <si>
    <t>Order-ahead pickup</t>
  </si>
  <si>
    <t>Reduces waiting and improves predictability</t>
  </si>
  <si>
    <t>Depends on app, network, inventory, and timing</t>
  </si>
  <si>
    <t>SmartBean delivery</t>
  </si>
  <si>
    <t>SmartBean accepts the order and delivers it</t>
  </si>
  <si>
    <t>Direct delivery</t>
  </si>
  <si>
    <t>Lowest customer travel effort</t>
  </si>
  <si>
    <t>Longer wait and delivery coordination</t>
  </si>
  <si>
    <t>Conversion rate</t>
  </si>
  <si>
    <t>Share of customers who move to the next stage or complete a purchase</t>
  </si>
  <si>
    <t>Purchases divided by visits</t>
  </si>
  <si>
    <t>Shows where convenience is working</t>
  </si>
  <si>
    <t>Counts and percentages should be interpreted together</t>
  </si>
  <si>
    <t>Web service</t>
  </si>
  <si>
    <t>A network-accessible function or data source used by another application</t>
  </si>
  <si>
    <t>Menu, price, inventory, or pickup-time service</t>
  </si>
  <si>
    <t>Keeps information current across interfaces</t>
  </si>
  <si>
    <t>Failures must be handled safely</t>
  </si>
  <si>
    <t>JSON</t>
  </si>
  <si>
    <t>A structured text format for exchanging named values</t>
  </si>
  <si>
    <t>Mobile app receives item, price, and availability</t>
  </si>
  <si>
    <t>Applications can interpret data consistently</t>
  </si>
  <si>
    <t>Fields and data types must be validated</t>
  </si>
  <si>
    <t>Geolocation permission</t>
  </si>
  <si>
    <t>Browser asks before sharing device location</t>
  </si>
  <si>
    <t>Find the nearest SmartBean café</t>
  </si>
  <si>
    <t>Faster location selection</t>
  </si>
  <si>
    <t>Use minimum necessary precision and allow manual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</si>
</sst>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21" sqref="A21"/>
    </sheetView>
  </sheetViews>
  <sheetFormatPr defaultRowHeight="13.8"/>
  <cols>
    <col min="1" max="1" width="26" customWidth="1"/>
    <col min="2" max="2" width="12" customWidth="1"/>
    <col min="3" max="5" width="18" customWidth="1"/>
    <col min="6" max="8" width="17" customWidth="1"/>
    <col min="9" max="9" width="34" customWidth="1"/>
    <col min="10" max="10" width="30" customWidth="1"/>
  </cols>
  <sheetData>
    <row r="1" spans="1:10" ht="2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7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7.6">
      <c r="A5" s="2" t="s">
        <v>12</v>
      </c>
      <c r="B5" s="3">
        <v>0.25</v>
      </c>
      <c r="C5" s="4">
        <v>3</v>
      </c>
      <c r="D5" s="4">
        <v>5</v>
      </c>
      <c r="E5" s="4">
        <v>3</v>
      </c>
      <c r="F5" s="5">
        <f t="shared" ref="F5:F10" si="0">B5*C5</f>
        <v>0.75</v>
      </c>
      <c r="G5" s="5">
        <f t="shared" ref="G5:G10" si="1">B5*D5</f>
        <v>1.25</v>
      </c>
      <c r="H5" s="5">
        <f t="shared" ref="H5:H10" si="2">B5*E5</f>
        <v>0.75</v>
      </c>
      <c r="I5" s="2" t="s">
        <v>13</v>
      </c>
      <c r="J5" s="4"/>
    </row>
    <row r="6" spans="1:10" ht="27.6">
      <c r="A6" s="2" t="s">
        <v>14</v>
      </c>
      <c r="B6" s="3">
        <v>0.2</v>
      </c>
      <c r="C6" s="4">
        <v>2</v>
      </c>
      <c r="D6" s="4">
        <v>4</v>
      </c>
      <c r="E6" s="4">
        <v>5</v>
      </c>
      <c r="F6" s="5">
        <f t="shared" si="0"/>
        <v>0.4</v>
      </c>
      <c r="G6" s="5">
        <f t="shared" si="1"/>
        <v>0.8</v>
      </c>
      <c r="H6" s="5">
        <f t="shared" si="2"/>
        <v>1</v>
      </c>
      <c r="I6" s="2" t="s">
        <v>15</v>
      </c>
      <c r="J6" s="4"/>
    </row>
    <row r="7" spans="1:10" ht="27.6">
      <c r="A7" s="2" t="s">
        <v>16</v>
      </c>
      <c r="B7" s="3">
        <v>0.15</v>
      </c>
      <c r="C7" s="4">
        <v>5</v>
      </c>
      <c r="D7" s="4">
        <v>5</v>
      </c>
      <c r="E7" s="4">
        <v>4</v>
      </c>
      <c r="F7" s="5">
        <f t="shared" si="0"/>
        <v>0.75</v>
      </c>
      <c r="G7" s="5">
        <f t="shared" si="1"/>
        <v>0.75</v>
      </c>
      <c r="H7" s="5">
        <f t="shared" si="2"/>
        <v>0.6</v>
      </c>
      <c r="I7" s="2" t="s">
        <v>17</v>
      </c>
      <c r="J7" s="4"/>
    </row>
    <row r="8" spans="1:10" ht="27.6">
      <c r="A8" s="2" t="s">
        <v>18</v>
      </c>
      <c r="B8" s="3">
        <v>0.15</v>
      </c>
      <c r="C8" s="4">
        <v>1</v>
      </c>
      <c r="D8" s="4">
        <v>4</v>
      </c>
      <c r="E8" s="4">
        <v>5</v>
      </c>
      <c r="F8" s="5">
        <f t="shared" si="0"/>
        <v>0.15</v>
      </c>
      <c r="G8" s="5">
        <f t="shared" si="1"/>
        <v>0.6</v>
      </c>
      <c r="H8" s="5">
        <f t="shared" si="2"/>
        <v>0.75</v>
      </c>
      <c r="I8" s="2" t="s">
        <v>19</v>
      </c>
      <c r="J8" s="4"/>
    </row>
    <row r="9" spans="1:10" ht="27.6">
      <c r="A9" s="2" t="s">
        <v>20</v>
      </c>
      <c r="B9" s="3">
        <v>0.15</v>
      </c>
      <c r="C9" s="4">
        <v>5</v>
      </c>
      <c r="D9" s="4">
        <v>4</v>
      </c>
      <c r="E9" s="4">
        <v>2</v>
      </c>
      <c r="F9" s="5">
        <f t="shared" si="0"/>
        <v>0.75</v>
      </c>
      <c r="G9" s="5">
        <f t="shared" si="1"/>
        <v>0.6</v>
      </c>
      <c r="H9" s="5">
        <f t="shared" si="2"/>
        <v>0.3</v>
      </c>
      <c r="I9" s="2" t="s">
        <v>21</v>
      </c>
      <c r="J9" s="4"/>
    </row>
    <row r="10" spans="1:10" ht="27.6">
      <c r="A10" s="2" t="s">
        <v>22</v>
      </c>
      <c r="B10" s="3">
        <v>0.1</v>
      </c>
      <c r="C10" s="4">
        <v>5</v>
      </c>
      <c r="D10" s="4">
        <v>2</v>
      </c>
      <c r="E10" s="4">
        <v>2</v>
      </c>
      <c r="F10" s="5">
        <f t="shared" si="0"/>
        <v>0.5</v>
      </c>
      <c r="G10" s="5">
        <f t="shared" si="1"/>
        <v>0.2</v>
      </c>
      <c r="H10" s="5">
        <f t="shared" si="2"/>
        <v>0.2</v>
      </c>
      <c r="I10" s="2" t="s">
        <v>23</v>
      </c>
      <c r="J10" s="4"/>
    </row>
    <row r="11" spans="1:10">
      <c r="A11" s="2" t="s">
        <v>24</v>
      </c>
      <c r="B11" s="2"/>
      <c r="C11" s="2"/>
      <c r="D11" s="2"/>
      <c r="E11" s="2"/>
      <c r="F11" s="5">
        <f>SUM(F5:F10)</f>
        <v>3.3</v>
      </c>
      <c r="G11" s="5">
        <f>SUM(G5:G10)</f>
        <v>4.2</v>
      </c>
      <c r="H11" s="5">
        <f>SUM(H5:H10)</f>
        <v>3.6</v>
      </c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9" t="s">
        <v>25</v>
      </c>
      <c r="B13" s="9"/>
      <c r="C13" s="9"/>
      <c r="D13" s="9"/>
      <c r="E13" s="9"/>
      <c r="F13" s="9"/>
      <c r="G13" s="9"/>
      <c r="H13" s="9"/>
      <c r="I13" s="9"/>
      <c r="J13" s="9"/>
    </row>
  </sheetData>
  <mergeCells count="3">
    <mergeCell ref="A1:J1"/>
    <mergeCell ref="A2:J2"/>
    <mergeCell ref="A13:J13"/>
  </mergeCells>
  <conditionalFormatting sqref="F11:H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5:E10" xr:uid="{00000000-0002-0000-0000-000000000000}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sqref="A1:I1"/>
    </sheetView>
  </sheetViews>
  <sheetFormatPr defaultRowHeight="13.8"/>
  <cols>
    <col min="1" max="1" width="22" customWidth="1"/>
    <col min="2" max="2" width="20" customWidth="1"/>
    <col min="3" max="3" width="22" customWidth="1"/>
    <col min="4" max="5" width="18" customWidth="1"/>
    <col min="6" max="7" width="34" customWidth="1"/>
    <col min="8" max="8" width="18" customWidth="1"/>
    <col min="9" max="9" width="30" customWidth="1"/>
  </cols>
  <sheetData>
    <row r="1" spans="1:9" ht="30.75" customHeight="1">
      <c r="A1" s="8" t="s">
        <v>26</v>
      </c>
      <c r="B1" s="8"/>
      <c r="C1" s="8"/>
      <c r="D1" s="8"/>
      <c r="E1" s="8"/>
      <c r="F1" s="8"/>
      <c r="G1" s="8"/>
      <c r="H1" s="8"/>
      <c r="I1" s="8"/>
    </row>
    <row r="2" spans="1:9" ht="63.3" customHeight="1">
      <c r="A2" s="9" t="s">
        <v>27</v>
      </c>
      <c r="B2" s="9"/>
      <c r="C2" s="9"/>
      <c r="D2" s="9"/>
      <c r="E2" s="9"/>
      <c r="F2" s="9"/>
      <c r="G2" s="9"/>
      <c r="H2" s="9"/>
      <c r="I2" s="9"/>
    </row>
    <row r="3" spans="1:9" ht="12" customHeight="1">
      <c r="A3" s="2"/>
      <c r="B3" s="2"/>
      <c r="C3" s="2"/>
      <c r="D3" s="2"/>
      <c r="E3" s="2"/>
      <c r="F3" s="2"/>
      <c r="G3" s="2"/>
      <c r="H3" s="2"/>
      <c r="I3" s="2"/>
    </row>
    <row r="4" spans="1:9" ht="21.15" customHeight="1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</row>
    <row r="5" spans="1:9" ht="12" customHeight="1">
      <c r="A5" s="2" t="s">
        <v>37</v>
      </c>
      <c r="B5" s="2">
        <v>1000</v>
      </c>
      <c r="C5" s="2">
        <f>B5-B6</f>
        <v>150</v>
      </c>
      <c r="D5" s="6">
        <f>B6/B5</f>
        <v>0.85</v>
      </c>
      <c r="E5" s="6">
        <f>1-D5</f>
        <v>0.15000000000000002</v>
      </c>
      <c r="F5" s="2" t="s">
        <v>38</v>
      </c>
      <c r="G5" s="2" t="s">
        <v>39</v>
      </c>
      <c r="H5" s="4"/>
      <c r="I5" s="4"/>
    </row>
    <row r="6" spans="1:9" ht="12" customHeight="1">
      <c r="A6" s="2" t="s">
        <v>40</v>
      </c>
      <c r="B6" s="2">
        <v>850</v>
      </c>
      <c r="C6" s="2">
        <f>B6-B7</f>
        <v>250</v>
      </c>
      <c r="D6" s="6">
        <f>B7/B6</f>
        <v>0.70588235294117652</v>
      </c>
      <c r="E6" s="6">
        <f>1-D6</f>
        <v>0.29411764705882348</v>
      </c>
      <c r="F6" s="2" t="s">
        <v>41</v>
      </c>
      <c r="G6" s="2" t="s">
        <v>42</v>
      </c>
      <c r="H6" s="4"/>
      <c r="I6" s="4"/>
    </row>
    <row r="7" spans="1:9" ht="12" customHeight="1">
      <c r="A7" s="2" t="s">
        <v>43</v>
      </c>
      <c r="B7" s="2">
        <v>600</v>
      </c>
      <c r="C7" s="2">
        <f>B7-B8</f>
        <v>150</v>
      </c>
      <c r="D7" s="6">
        <f>B8/B7</f>
        <v>0.75</v>
      </c>
      <c r="E7" s="6">
        <f>1-D7</f>
        <v>0.25</v>
      </c>
      <c r="F7" s="2" t="s">
        <v>44</v>
      </c>
      <c r="G7" s="2" t="s">
        <v>45</v>
      </c>
      <c r="H7" s="4"/>
      <c r="I7" s="4"/>
    </row>
    <row r="8" spans="1:9" ht="12" customHeight="1">
      <c r="A8" s="2" t="s">
        <v>46</v>
      </c>
      <c r="B8" s="2">
        <v>450</v>
      </c>
      <c r="C8" s="2">
        <f>B8-B9</f>
        <v>90</v>
      </c>
      <c r="D8" s="6">
        <f>B9/B8</f>
        <v>0.8</v>
      </c>
      <c r="E8" s="6">
        <f>1-D8</f>
        <v>0.19999999999999996</v>
      </c>
      <c r="F8" s="2" t="s">
        <v>47</v>
      </c>
      <c r="G8" s="2" t="s">
        <v>48</v>
      </c>
      <c r="H8" s="4"/>
      <c r="I8" s="4"/>
    </row>
    <row r="9" spans="1:9" ht="12" customHeight="1">
      <c r="A9" s="2" t="s">
        <v>49</v>
      </c>
      <c r="B9" s="2">
        <v>360</v>
      </c>
      <c r="C9" s="2">
        <v>0</v>
      </c>
      <c r="D9" s="6">
        <v>1</v>
      </c>
      <c r="E9" s="6">
        <v>0</v>
      </c>
      <c r="F9" s="2" t="s">
        <v>50</v>
      </c>
      <c r="G9" s="2" t="s">
        <v>51</v>
      </c>
      <c r="H9" s="4"/>
      <c r="I9" s="4"/>
    </row>
    <row r="10" spans="1:9" ht="12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73.95" customHeight="1">
      <c r="A11" s="9" t="s">
        <v>52</v>
      </c>
      <c r="B11" s="9"/>
      <c r="C11" s="9"/>
      <c r="D11" s="9"/>
      <c r="E11" s="9"/>
      <c r="F11" s="9"/>
      <c r="G11" s="9"/>
      <c r="H11" s="9"/>
      <c r="I11" s="9"/>
    </row>
  </sheetData>
  <mergeCells count="3">
    <mergeCell ref="A1:I1"/>
    <mergeCell ref="A2:I2"/>
    <mergeCell ref="A11:I11"/>
  </mergeCells>
  <conditionalFormatting sqref="C5:C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{CAAA4CDD-EE85-6387-9969-203B4EF4F1E7}</x14:id>
        </ext>
      </extLst>
    </cfRule>
  </conditionalFormatting>
  <conditionalFormatting sqref="E5:E9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AA4CDD-EE85-6387-9969-203B4EF4F1E7}">
            <x14:dataBar>
              <x14:cfvo type="min"/>
              <x14:cfvo type="max"/>
              <x14:negativeFillColor auto="1"/>
              <x14:axisColor auto="1"/>
            </x14:dataBar>
          </x14:cfRule>
          <xm:sqref>C5:C9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opLeftCell="A2" workbookViewId="0">
      <selection sqref="A1:H1"/>
    </sheetView>
  </sheetViews>
  <sheetFormatPr defaultRowHeight="13.8"/>
  <cols>
    <col min="1" max="2" width="18" customWidth="1"/>
    <col min="3" max="4" width="30" customWidth="1"/>
    <col min="5" max="5" width="34" customWidth="1"/>
    <col min="6" max="6" width="30" customWidth="1"/>
    <col min="7" max="7" width="20" customWidth="1"/>
    <col min="8" max="8" width="28" customWidth="1"/>
  </cols>
  <sheetData>
    <row r="1" spans="1:8" ht="61.5" customHeight="1">
      <c r="A1" s="8" t="s">
        <v>53</v>
      </c>
      <c r="B1" s="8"/>
      <c r="C1" s="8"/>
      <c r="D1" s="8"/>
      <c r="E1" s="8"/>
      <c r="F1" s="8"/>
      <c r="G1" s="8"/>
      <c r="H1" s="8"/>
    </row>
    <row r="2" spans="1:8" ht="105.6" customHeight="1">
      <c r="A2" s="9" t="s">
        <v>54</v>
      </c>
      <c r="B2" s="9"/>
      <c r="C2" s="9"/>
      <c r="D2" s="9"/>
      <c r="E2" s="9"/>
      <c r="F2" s="9"/>
      <c r="G2" s="9"/>
      <c r="H2" s="9"/>
    </row>
    <row r="3" spans="1:8" ht="12" customHeight="1">
      <c r="A3" s="2"/>
      <c r="B3" s="2"/>
      <c r="C3" s="2"/>
      <c r="D3" s="2"/>
      <c r="E3" s="2"/>
      <c r="F3" s="2"/>
      <c r="G3" s="2"/>
      <c r="H3" s="2"/>
    </row>
    <row r="4" spans="1:8" ht="95.1" customHeight="1">
      <c r="A4" s="10" t="s">
        <v>55</v>
      </c>
      <c r="B4" s="10"/>
      <c r="C4" s="10"/>
      <c r="D4" s="10"/>
      <c r="E4" s="10"/>
      <c r="F4" s="10"/>
      <c r="G4" s="10"/>
      <c r="H4" s="10"/>
    </row>
    <row r="5" spans="1:8" ht="12" customHeight="1">
      <c r="A5" s="10"/>
      <c r="B5" s="10"/>
      <c r="C5" s="10"/>
      <c r="D5" s="10"/>
      <c r="E5" s="10"/>
      <c r="F5" s="10"/>
      <c r="G5" s="10"/>
      <c r="H5" s="10"/>
    </row>
    <row r="6" spans="1:8" ht="12" customHeight="1">
      <c r="A6" s="10"/>
      <c r="B6" s="10"/>
      <c r="C6" s="10"/>
      <c r="D6" s="10"/>
      <c r="E6" s="10"/>
      <c r="F6" s="10"/>
      <c r="G6" s="10"/>
      <c r="H6" s="10"/>
    </row>
    <row r="7" spans="1:8" ht="12" customHeight="1">
      <c r="A7" s="10"/>
      <c r="B7" s="10"/>
      <c r="C7" s="10"/>
      <c r="D7" s="10"/>
      <c r="E7" s="10"/>
      <c r="F7" s="10"/>
      <c r="G7" s="10"/>
      <c r="H7" s="10"/>
    </row>
    <row r="8" spans="1:8" ht="12" customHeight="1">
      <c r="A8" s="10"/>
      <c r="B8" s="10"/>
      <c r="C8" s="10"/>
      <c r="D8" s="10"/>
      <c r="E8" s="10"/>
      <c r="F8" s="10"/>
      <c r="G8" s="10"/>
      <c r="H8" s="10"/>
    </row>
    <row r="9" spans="1:8" ht="12" customHeight="1">
      <c r="A9" s="10"/>
      <c r="B9" s="10"/>
      <c r="C9" s="10"/>
      <c r="D9" s="10"/>
      <c r="E9" s="10"/>
      <c r="F9" s="10"/>
      <c r="G9" s="10"/>
      <c r="H9" s="10"/>
    </row>
    <row r="10" spans="1:8" ht="12" customHeight="1">
      <c r="A10" s="10"/>
      <c r="B10" s="10"/>
      <c r="C10" s="10"/>
      <c r="D10" s="10"/>
      <c r="E10" s="10"/>
      <c r="F10" s="10"/>
      <c r="G10" s="10"/>
      <c r="H10" s="10"/>
    </row>
    <row r="11" spans="1:8" ht="12" customHeight="1">
      <c r="A11" s="2"/>
      <c r="B11" s="2"/>
      <c r="C11" s="2"/>
      <c r="D11" s="2"/>
      <c r="E11" s="2"/>
      <c r="F11" s="2"/>
      <c r="G11" s="2"/>
      <c r="H11" s="2"/>
    </row>
    <row r="12" spans="1:8" ht="12" customHeight="1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 t="s">
        <v>63</v>
      </c>
    </row>
    <row r="13" spans="1:8" ht="21.15" customHeight="1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4"/>
      <c r="G13" s="2" t="s">
        <v>69</v>
      </c>
      <c r="H13" s="2" t="s">
        <v>70</v>
      </c>
    </row>
    <row r="14" spans="1:8" ht="12" customHeight="1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4"/>
      <c r="G14" s="2" t="s">
        <v>76</v>
      </c>
      <c r="H14" s="2" t="s">
        <v>77</v>
      </c>
    </row>
    <row r="15" spans="1:8" ht="12" customHeight="1">
      <c r="A15" s="2" t="s">
        <v>78</v>
      </c>
      <c r="B15" s="7" t="b">
        <v>1</v>
      </c>
      <c r="C15" s="2" t="s">
        <v>79</v>
      </c>
      <c r="D15" s="2" t="s">
        <v>80</v>
      </c>
      <c r="E15" s="2" t="s">
        <v>81</v>
      </c>
      <c r="F15" s="4"/>
      <c r="G15" s="2" t="s">
        <v>82</v>
      </c>
      <c r="H15" s="2" t="s">
        <v>83</v>
      </c>
    </row>
    <row r="16" spans="1:8" ht="12" customHeight="1">
      <c r="A16" s="2" t="s">
        <v>84</v>
      </c>
      <c r="B16" s="2">
        <v>5.25</v>
      </c>
      <c r="C16" s="2" t="s">
        <v>85</v>
      </c>
      <c r="D16" s="2" t="s">
        <v>86</v>
      </c>
      <c r="E16" s="2" t="s">
        <v>87</v>
      </c>
      <c r="F16" s="4"/>
      <c r="G16" s="2" t="s">
        <v>88</v>
      </c>
      <c r="H16" s="2" t="s">
        <v>89</v>
      </c>
    </row>
    <row r="17" spans="1:8" ht="21.15" customHeight="1">
      <c r="A17" s="2" t="s">
        <v>90</v>
      </c>
      <c r="B17" s="2">
        <v>12</v>
      </c>
      <c r="C17" s="2" t="s">
        <v>91</v>
      </c>
      <c r="D17" s="2" t="s">
        <v>92</v>
      </c>
      <c r="E17" s="2" t="s">
        <v>93</v>
      </c>
      <c r="F17" s="4"/>
      <c r="G17" s="2" t="s">
        <v>94</v>
      </c>
      <c r="H17" s="2" t="s">
        <v>95</v>
      </c>
    </row>
    <row r="18" spans="1:8" ht="12" customHeight="1">
      <c r="A18" s="2" t="s">
        <v>96</v>
      </c>
      <c r="B18" s="7" t="b">
        <v>1</v>
      </c>
      <c r="C18" s="2" t="s">
        <v>97</v>
      </c>
      <c r="D18" s="2" t="s">
        <v>98</v>
      </c>
      <c r="E18" s="2" t="s">
        <v>99</v>
      </c>
      <c r="F18" s="4"/>
      <c r="G18" s="2" t="s">
        <v>100</v>
      </c>
      <c r="H18" s="2" t="s">
        <v>101</v>
      </c>
    </row>
    <row r="19" spans="1:8" ht="12" customHeight="1">
      <c r="A19" s="2"/>
      <c r="B19" s="2"/>
      <c r="C19" s="2"/>
      <c r="D19" s="2"/>
      <c r="E19" s="2"/>
      <c r="F19" s="2"/>
      <c r="G19" s="2"/>
      <c r="H19" s="2"/>
    </row>
    <row r="20" spans="1:8" ht="95.1" customHeight="1">
      <c r="A20" s="9" t="s">
        <v>102</v>
      </c>
      <c r="B20" s="9"/>
      <c r="C20" s="9"/>
      <c r="D20" s="9"/>
      <c r="E20" s="9"/>
      <c r="F20" s="9"/>
      <c r="G20" s="9"/>
      <c r="H20" s="9"/>
    </row>
  </sheetData>
  <mergeCells count="4">
    <mergeCell ref="A1:H1"/>
    <mergeCell ref="A2:H2"/>
    <mergeCell ref="A4:H10"/>
    <mergeCell ref="A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C26" sqref="C26"/>
    </sheetView>
  </sheetViews>
  <sheetFormatPr defaultRowHeight="13.8"/>
  <cols>
    <col min="1" max="1" width="24" customWidth="1"/>
    <col min="2" max="2" width="41.3984375" bestFit="1" customWidth="1"/>
    <col min="3" max="3" width="24" bestFit="1" customWidth="1"/>
    <col min="4" max="4" width="30" bestFit="1" customWidth="1"/>
    <col min="5" max="5" width="34" customWidth="1"/>
    <col min="6" max="6" width="12" bestFit="1" customWidth="1"/>
    <col min="7" max="7" width="32" customWidth="1"/>
    <col min="8" max="8" width="20" customWidth="1"/>
  </cols>
  <sheetData>
    <row r="1" spans="1:8" ht="21">
      <c r="A1" s="8" t="s">
        <v>103</v>
      </c>
      <c r="B1" s="8"/>
      <c r="C1" s="8"/>
      <c r="D1" s="8"/>
      <c r="E1" s="8"/>
      <c r="F1" s="8"/>
      <c r="G1" s="8"/>
      <c r="H1" s="8"/>
    </row>
    <row r="2" spans="1:8">
      <c r="A2" s="9" t="s">
        <v>104</v>
      </c>
      <c r="B2" s="9"/>
      <c r="C2" s="9"/>
      <c r="D2" s="9"/>
      <c r="E2" s="9"/>
      <c r="F2" s="9"/>
      <c r="G2" s="9"/>
      <c r="H2" s="9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  <c r="G4" s="1" t="s">
        <v>36</v>
      </c>
      <c r="H4" s="1" t="s">
        <v>111</v>
      </c>
    </row>
    <row r="5" spans="1:8" ht="27.6">
      <c r="A5" s="2" t="s">
        <v>112</v>
      </c>
      <c r="B5" s="2" t="s">
        <v>113</v>
      </c>
      <c r="C5" s="2" t="s">
        <v>114</v>
      </c>
      <c r="D5" s="2" t="s">
        <v>115</v>
      </c>
      <c r="E5" s="2" t="s">
        <v>116</v>
      </c>
      <c r="F5" s="2">
        <v>5</v>
      </c>
      <c r="G5" s="4"/>
      <c r="H5" s="2" t="s">
        <v>117</v>
      </c>
    </row>
    <row r="6" spans="1:8" ht="27.6">
      <c r="A6" s="2" t="s">
        <v>118</v>
      </c>
      <c r="B6" s="2" t="s">
        <v>119</v>
      </c>
      <c r="C6" s="2" t="s">
        <v>120</v>
      </c>
      <c r="D6" s="2" t="s">
        <v>121</v>
      </c>
      <c r="E6" s="2" t="s">
        <v>122</v>
      </c>
      <c r="F6" s="2">
        <v>4</v>
      </c>
      <c r="G6" s="4"/>
      <c r="H6" s="2" t="s">
        <v>123</v>
      </c>
    </row>
    <row r="7" spans="1:8" ht="27.6">
      <c r="A7" s="2" t="s">
        <v>124</v>
      </c>
      <c r="B7" s="2" t="s">
        <v>125</v>
      </c>
      <c r="C7" s="2" t="s">
        <v>126</v>
      </c>
      <c r="D7" s="2" t="s">
        <v>127</v>
      </c>
      <c r="E7" s="2" t="s">
        <v>128</v>
      </c>
      <c r="F7" s="2">
        <v>5</v>
      </c>
      <c r="G7" s="4"/>
      <c r="H7" s="2" t="s">
        <v>129</v>
      </c>
    </row>
    <row r="8" spans="1:8" ht="27.6">
      <c r="A8" s="2" t="s">
        <v>130</v>
      </c>
      <c r="B8" s="2" t="s">
        <v>131</v>
      </c>
      <c r="C8" s="2" t="s">
        <v>132</v>
      </c>
      <c r="D8" s="2" t="s">
        <v>133</v>
      </c>
      <c r="E8" s="2" t="s">
        <v>134</v>
      </c>
      <c r="F8" s="2">
        <v>5</v>
      </c>
      <c r="G8" s="4"/>
      <c r="H8" s="2" t="s">
        <v>117</v>
      </c>
    </row>
    <row r="9" spans="1:8">
      <c r="A9" s="2" t="s">
        <v>135</v>
      </c>
      <c r="B9" s="2" t="s">
        <v>136</v>
      </c>
      <c r="C9" s="2" t="s">
        <v>137</v>
      </c>
      <c r="D9" s="2" t="s">
        <v>138</v>
      </c>
      <c r="E9" s="2" t="s">
        <v>139</v>
      </c>
      <c r="F9" s="2">
        <v>5</v>
      </c>
      <c r="G9" s="4"/>
      <c r="H9" s="2" t="s">
        <v>140</v>
      </c>
    </row>
    <row r="10" spans="1:8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>
        <v>4</v>
      </c>
      <c r="G10" s="4"/>
      <c r="H10" s="2" t="s">
        <v>117</v>
      </c>
    </row>
    <row r="11" spans="1:8" ht="27.6">
      <c r="A11" s="2" t="s">
        <v>146</v>
      </c>
      <c r="B11" s="2" t="s">
        <v>147</v>
      </c>
      <c r="C11" s="2" t="s">
        <v>148</v>
      </c>
      <c r="D11" s="2" t="s">
        <v>149</v>
      </c>
      <c r="E11" s="2" t="s">
        <v>150</v>
      </c>
      <c r="F11" s="2">
        <v>5</v>
      </c>
      <c r="G11" s="4"/>
      <c r="H11" s="2" t="s">
        <v>123</v>
      </c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9" t="s">
        <v>151</v>
      </c>
      <c r="B13" s="9"/>
      <c r="C13" s="9"/>
      <c r="D13" s="9"/>
      <c r="E13" s="9"/>
      <c r="F13" s="9"/>
      <c r="G13" s="9"/>
      <c r="H13" s="9"/>
    </row>
  </sheetData>
  <mergeCells count="3">
    <mergeCell ref="A1:H1"/>
    <mergeCell ref="A2:H2"/>
    <mergeCell ref="A13:H13"/>
  </mergeCells>
  <conditionalFormatting sqref="F5:F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C6" sqref="C6"/>
    </sheetView>
  </sheetViews>
  <sheetFormatPr defaultRowHeight="13.8"/>
  <cols>
    <col min="1" max="1" width="19.796875" bestFit="1" customWidth="1"/>
    <col min="2" max="2" width="43.296875" customWidth="1"/>
    <col min="3" max="3" width="39.09765625" bestFit="1" customWidth="1"/>
    <col min="4" max="4" width="30" customWidth="1"/>
    <col min="5" max="5" width="38" customWidth="1"/>
  </cols>
  <sheetData>
    <row r="1" spans="1:5" ht="21">
      <c r="A1" s="8" t="s">
        <v>152</v>
      </c>
      <c r="B1" s="8"/>
      <c r="C1" s="8"/>
      <c r="D1" s="8"/>
      <c r="E1" s="8"/>
    </row>
    <row r="2" spans="1:5">
      <c r="A2" s="2"/>
      <c r="B2" s="2"/>
      <c r="C2" s="2"/>
      <c r="D2" s="2"/>
      <c r="E2" s="2"/>
    </row>
    <row r="3" spans="1:5">
      <c r="A3" s="1" t="s">
        <v>153</v>
      </c>
      <c r="B3" s="1" t="s">
        <v>154</v>
      </c>
      <c r="C3" s="1" t="s">
        <v>155</v>
      </c>
      <c r="D3" s="1" t="s">
        <v>59</v>
      </c>
      <c r="E3" s="1" t="s">
        <v>156</v>
      </c>
    </row>
    <row r="4" spans="1:5" ht="27.6">
      <c r="A4" s="2" t="s">
        <v>157</v>
      </c>
      <c r="B4" s="2" t="s">
        <v>158</v>
      </c>
      <c r="C4" s="2" t="s">
        <v>159</v>
      </c>
      <c r="D4" s="2" t="s">
        <v>160</v>
      </c>
      <c r="E4" s="2" t="s">
        <v>161</v>
      </c>
    </row>
    <row r="5" spans="1:5" ht="27.6">
      <c r="A5" s="2" t="s">
        <v>162</v>
      </c>
      <c r="B5" s="2" t="s">
        <v>163</v>
      </c>
      <c r="C5" s="2" t="s">
        <v>164</v>
      </c>
      <c r="D5" s="2" t="s">
        <v>165</v>
      </c>
      <c r="E5" s="2" t="s">
        <v>166</v>
      </c>
    </row>
    <row r="6" spans="1:5">
      <c r="A6" s="2" t="s">
        <v>167</v>
      </c>
      <c r="B6" s="2" t="s">
        <v>168</v>
      </c>
      <c r="C6" s="2" t="s">
        <v>169</v>
      </c>
      <c r="D6" s="2" t="s">
        <v>170</v>
      </c>
      <c r="E6" s="2" t="s">
        <v>171</v>
      </c>
    </row>
    <row r="7" spans="1:5" ht="27.6">
      <c r="A7" s="2" t="s">
        <v>172</v>
      </c>
      <c r="B7" s="2" t="s">
        <v>173</v>
      </c>
      <c r="C7" s="2" t="s">
        <v>174</v>
      </c>
      <c r="D7" s="2" t="s">
        <v>175</v>
      </c>
      <c r="E7" s="2" t="s">
        <v>176</v>
      </c>
    </row>
    <row r="8" spans="1:5">
      <c r="A8" s="2" t="s">
        <v>177</v>
      </c>
      <c r="B8" s="2" t="s">
        <v>178</v>
      </c>
      <c r="C8" s="2" t="s">
        <v>179</v>
      </c>
      <c r="D8" s="2" t="s">
        <v>180</v>
      </c>
      <c r="E8" s="2" t="s">
        <v>181</v>
      </c>
    </row>
    <row r="9" spans="1:5" ht="27.6">
      <c r="A9" s="2" t="s">
        <v>182</v>
      </c>
      <c r="B9" s="2" t="s">
        <v>183</v>
      </c>
      <c r="C9" s="2" t="s">
        <v>184</v>
      </c>
      <c r="D9" s="2" t="s">
        <v>185</v>
      </c>
      <c r="E9" s="2" t="s">
        <v>186</v>
      </c>
    </row>
    <row r="10" spans="1:5" ht="27.6">
      <c r="A10" s="2" t="s">
        <v>187</v>
      </c>
      <c r="B10" s="2" t="s">
        <v>188</v>
      </c>
      <c r="C10" s="2" t="s">
        <v>189</v>
      </c>
      <c r="D10" s="2" t="s">
        <v>190</v>
      </c>
      <c r="E10" s="2" t="s">
        <v>191</v>
      </c>
    </row>
    <row r="11" spans="1:5" ht="27.6">
      <c r="A11" s="2" t="s">
        <v>192</v>
      </c>
      <c r="B11" s="2" t="s">
        <v>193</v>
      </c>
      <c r="C11" s="2" t="s">
        <v>194</v>
      </c>
      <c r="D11" s="2" t="s">
        <v>195</v>
      </c>
      <c r="E11" s="2" t="s">
        <v>196</v>
      </c>
    </row>
    <row r="12" spans="1:5" ht="27.6">
      <c r="A12" s="2" t="s">
        <v>197</v>
      </c>
      <c r="B12" s="2" t="s">
        <v>198</v>
      </c>
      <c r="C12" s="2" t="s">
        <v>199</v>
      </c>
      <c r="D12" s="2" t="s">
        <v>200</v>
      </c>
      <c r="E12" s="2" t="s">
        <v>201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1-ChannelConvenience</vt:lpstr>
      <vt:lpstr>2-MobileCheckout</vt:lpstr>
      <vt:lpstr>3-ServiceData</vt:lpstr>
      <vt:lpstr>4-PrivacyControls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Paulson, Patrick G</cp:lastModifiedBy>
  <dcterms:modified xsi:type="dcterms:W3CDTF">2026-08-01T16:14:15Z</dcterms:modified>
</cp:coreProperties>
</file>