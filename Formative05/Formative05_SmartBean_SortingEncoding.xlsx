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cc032cbd2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-Sorting" sheetId="1" r:id="R874667bfd3234c42"/>
    <x:sheet xmlns:r="http://schemas.openxmlformats.org/officeDocument/2006/relationships" name="2-BusinessDataTypes" sheetId="2" r:id="R8c135d704c484d22"/>
    <x:sheet xmlns:r="http://schemas.openxmlformats.org/officeDocument/2006/relationships" name="3-EncodingText" sheetId="3" r:id="Rcc9f690af3fa4f37"/>
    <x:sheet xmlns:r="http://schemas.openxmlformats.org/officeDocument/2006/relationships" name="4-NumberVsText" sheetId="4" r:id="Ra2959b5cda024b93"/>
    <x:sheet xmlns:r="http://schemas.openxmlformats.org/officeDocument/2006/relationships" name="Reference" sheetId="5" r:id="Rd84dde8489704e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56ec5938d488b" /><Relationship Type="http://schemas.openxmlformats.org/officeDocument/2006/relationships/theme" Target="/xl/theme/theme1.xml" Id="Ra8a3f64501574e33" /><Relationship Type="http://schemas.openxmlformats.org/officeDocument/2006/relationships/sharedStrings" Target="/xl/sharedStrings.xml" Id="Rcc2800b5a86b4e64" /><Relationship Type="http://schemas.openxmlformats.org/officeDocument/2006/relationships/worksheet" Target="/xl/worksheets/sheet1.xml" Id="R874667bfd3234c42" /><Relationship Type="http://schemas.openxmlformats.org/officeDocument/2006/relationships/worksheet" Target="/xl/worksheets/sheet2.xml" Id="R8c135d704c484d22" /><Relationship Type="http://schemas.openxmlformats.org/officeDocument/2006/relationships/worksheet" Target="/xl/worksheets/sheet3.xml" Id="Rcc9f690af3fa4f37" /><Relationship Type="http://schemas.openxmlformats.org/officeDocument/2006/relationships/worksheet" Target="/xl/worksheets/sheet4.xml" Id="Ra2959b5cda024b93" /><Relationship Type="http://schemas.openxmlformats.org/officeDocument/2006/relationships/worksheet" Target="/xl/worksheets/sheet5.xml" Id="Rd84dde8489704e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4" hidden="0" customWidth="1"/>
    <x:col min="5" max="5" width="20" hidden="0" customWidth="1"/>
    <x:col min="6" max="6" width="20" hidden="0" customWidth="1"/>
    <x:col min="7" max="7" width="22" hidden="0" customWidth="1"/>
    <x:col min="8" max="8" width="34" hidden="0" customWidth="1"/>
  </x:cols>
  <x:sheetData>
    <x:row r="1" ht="76.80000305175781" hidden="0" customHeight="1">
      <x:c r="A1" s="29" t="str">
        <x:v>SmartBean Sorting — Numbers and Text</x:v>
      </x:c>
      <x:c r="B1" s="29"/>
      <x:c r="C1" s="29"/>
      <x:c r="D1" s="29"/>
      <x:c r="E1" s="29"/>
      <x:c r="F1" s="29"/>
      <x:c r="G1" s="29"/>
      <x:c r="H1" s="29"/>
    </x:row>
    <x:row r="2" ht="105.5999984741211" hidden="0" customHeight="1">
      <x:c r="A2" s="12" t="str">
        <x:v>The same visible digits can sort differently depending on whether Excel or a database stores them as numbers or text. Use the Sort feature on each copy and compare the results.</x:v>
      </x:c>
      <x:c r="B2" s="12"/>
      <x:c r="C2" s="12"/>
      <x:c r="D2" s="12"/>
      <x:c r="E2" s="12"/>
      <x:c r="F2" s="12"/>
      <x:c r="G2" s="12"/>
      <x:c r="H2" s="12"/>
    </x:row>
    <x:row r="3" ht="15" hidden="0" customHeight="1">
      <x:c r="A3" s="30"/>
      <x:c r="B3" s="30"/>
      <x:c r="C3" s="30"/>
      <x:c r="D3" s="30"/>
      <x:c r="E3" s="30"/>
      <x:c r="F3" s="30"/>
      <x:c r="G3" s="30"/>
      <x:c r="H3" s="30"/>
    </x:row>
    <x:row r="4" ht="15" hidden="0" customHeight="1">
      <x:c r="A4" s="20" t="str">
        <x:v>Original Numeric Values</x:v>
      </x:c>
      <x:c r="B4" s="20" t="str">
        <x:v>Numeric Sort Result</x:v>
      </x:c>
      <x:c r="C4" s="20" t="str">
        <x:v>Notes</x:v>
      </x:c>
      <x:c r="D4" s="20" t="str"/>
      <x:c r="E4" s="20" t="str">
        <x:v>Original Text Values</x:v>
      </x:c>
      <x:c r="F4" s="20" t="str">
        <x:v>Text Sort Result</x:v>
      </x:c>
      <x:c r="G4" s="20" t="str">
        <x:v>Notes</x:v>
      </x:c>
      <x:c r="H4" s="20" t="str">
        <x:v>Business Meaning</x:v>
      </x:c>
    </x:row>
    <x:row r="5" ht="15" hidden="0" customHeight="1">
      <x:c r="A5" s="30" t="n">
        <x:v>195</x:v>
      </x:c>
      <x:c r="B5" s="31"/>
      <x:c r="C5" s="31"/>
      <x:c r="D5" s="30"/>
      <x:c r="E5" s="30" t="str">
        <x:v>195</x:v>
      </x:c>
      <x:c r="F5" s="31"/>
      <x:c r="G5" s="31"/>
      <x:c r="H5" s="30" t="str">
        <x:v>Units sold: arithmetic is meaningful</x:v>
      </x:c>
    </x:row>
    <x:row r="6" ht="15" hidden="0" customHeight="1">
      <x:c r="A6" s="30" t="n">
        <x:v>10</x:v>
      </x:c>
      <x:c r="B6" s="31"/>
      <x:c r="C6" s="31"/>
      <x:c r="D6" s="30"/>
      <x:c r="E6" s="30" t="str">
        <x:v>10</x:v>
      </x:c>
      <x:c r="F6" s="31"/>
      <x:c r="G6" s="31"/>
      <x:c r="H6" s="30" t="str">
        <x:v>Units sold: arithmetic is meaningful</x:v>
      </x:c>
    </x:row>
    <x:row r="7" ht="15" hidden="0" customHeight="1">
      <x:c r="A7" s="30" t="n">
        <x:v>110</x:v>
      </x:c>
      <x:c r="B7" s="31"/>
      <x:c r="C7" s="31"/>
      <x:c r="D7" s="30"/>
      <x:c r="E7" s="30" t="str">
        <x:v>0110</x:v>
      </x:c>
      <x:c r="F7" s="31"/>
      <x:c r="G7" s="31"/>
      <x:c r="H7" s="30" t="str">
        <x:v>Product code: leading zero matters</x:v>
      </x:c>
    </x:row>
    <x:row r="8" ht="15" hidden="0" customHeight="1">
      <x:c r="A8" s="30" t="n">
        <x:v>283</x:v>
      </x:c>
      <x:c r="B8" s="31"/>
      <x:c r="C8" s="31"/>
      <x:c r="D8" s="30"/>
      <x:c r="E8" s="30" t="str">
        <x:v>283</x:v>
      </x:c>
      <x:c r="F8" s="31"/>
      <x:c r="G8" s="31"/>
      <x:c r="H8" s="30" t="str">
        <x:v>Units sold: arithmetic is meaningful</x:v>
      </x:c>
    </x:row>
    <x:row r="9" ht="15" hidden="0" customHeight="1">
      <x:c r="A9" s="30"/>
      <x:c r="B9" s="30"/>
      <x:c r="C9" s="30"/>
      <x:c r="D9" s="30"/>
      <x:c r="E9" s="30"/>
      <x:c r="F9" s="30"/>
      <x:c r="G9" s="30"/>
      <x:c r="H9" s="30"/>
    </x:row>
    <x:row r="10" ht="79.19999694824219" hidden="0" customHeight="1">
      <x:c r="A10" s="12" t="str">
        <x:v>Complete the two sorted-result columns. Then note why the text value 0110 should remain text if it is a product code.</x:v>
      </x:c>
      <x:c r="B10" s="12"/>
      <x:c r="C10" s="12"/>
      <x:c r="D10" s="12"/>
      <x:c r="E10" s="12"/>
      <x:c r="F10" s="12"/>
      <x:c r="G10" s="12"/>
      <x:c r="H10" s="12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0" hidden="0" customWidth="1"/>
    <x:col min="5" max="5" width="30" hidden="0" customWidth="1"/>
    <x:col min="6" max="6" width="34" hidden="0" customWidth="1"/>
  </x:cols>
  <x:sheetData>
    <x:row r="1" ht="57.599998474121094" hidden="0" customHeight="1">
      <x:c r="A1" s="29" t="str">
        <x:v>SmartBean Business Data Types</x:v>
      </x:c>
      <x:c r="B1" s="29"/>
      <x:c r="C1" s="29"/>
      <x:c r="D1" s="29"/>
      <x:c r="E1" s="29"/>
      <x:c r="F1" s="29"/>
    </x:row>
    <x:row r="2" ht="105.5999984741211" hidden="0" customHeight="1">
      <x:c r="A2" s="12" t="str">
        <x:v>Choose a data type based on business meaning, not only on how the value looks. Numbers support arithmetic; text preserves labels, identifiers, formatting, and leading zeros.</x:v>
      </x:c>
      <x:c r="B2" s="12"/>
      <x:c r="C2" s="12"/>
      <x:c r="D2" s="12"/>
      <x:c r="E2" s="12"/>
      <x:c r="F2" s="12"/>
    </x:row>
    <x:row r="3" ht="15" hidden="0" customHeight="1">
      <x:c r="A3" s="30"/>
      <x:c r="B3" s="30"/>
      <x:c r="C3" s="30"/>
      <x:c r="D3" s="30"/>
      <x:c r="E3" s="30"/>
      <x:c r="F3" s="30"/>
    </x:row>
    <x:row r="4" ht="15" hidden="0" customHeight="1">
      <x:c r="A4" s="20" t="str">
        <x:v>Business Field</x:v>
      </x:c>
      <x:c r="B4" s="20" t="str">
        <x:v>Example</x:v>
      </x:c>
      <x:c r="C4" s="20" t="str">
        <x:v>Recommended Type</x:v>
      </x:c>
      <x:c r="D4" s="20" t="str">
        <x:v>Arithmetic Meaningful?</x:v>
      </x:c>
      <x:c r="E4" s="20" t="str">
        <x:v>Risk of Wrong Type</x:v>
      </x:c>
      <x:c r="F4" s="20" t="str">
        <x:v>Student Reason</x:v>
      </x:c>
    </x:row>
    <x:row r="5" ht="15" hidden="0" customHeight="1">
      <x:c r="A5" s="30" t="str">
        <x:v>ZIP code</x:v>
      </x:c>
      <x:c r="B5" s="30" t="str">
        <x:v>055901</x:v>
      </x:c>
      <x:c r="C5" s="31"/>
      <x:c r="D5" s="30" t="str">
        <x:v>No</x:v>
      </x:c>
      <x:c r="E5" s="30" t="str">
        <x:v>Leading zero may be lost</x:v>
      </x:c>
      <x:c r="F5" s="31" t="str"/>
    </x:row>
    <x:row r="6" ht="15" hidden="0" customHeight="1">
      <x:c r="A6" s="30" t="str">
        <x:v>Product ID</x:v>
      </x:c>
      <x:c r="B6" s="30" t="str">
        <x:v>0110</x:v>
      </x:c>
      <x:c r="C6" s="31"/>
      <x:c r="D6" s="30" t="str">
        <x:v>No</x:v>
      </x:c>
      <x:c r="E6" s="30" t="str">
        <x:v>Incorrect matching or sorting</x:v>
      </x:c>
      <x:c r="F6" s="31" t="str"/>
    </x:row>
    <x:row r="7" ht="15" hidden="0" customHeight="1">
      <x:c r="A7" s="30" t="str">
        <x:v>Units sold</x:v>
      </x:c>
      <x:c r="B7" s="30" t="n">
        <x:v>497</x:v>
      </x:c>
      <x:c r="C7" s="31"/>
      <x:c r="D7" s="30" t="str">
        <x:v>Yes</x:v>
      </x:c>
      <x:c r="E7" s="30" t="str">
        <x:v>Totals and averages may fail</x:v>
      </x:c>
      <x:c r="F7" s="31" t="str"/>
    </x:row>
    <x:row r="8" ht="15" hidden="0" customHeight="1">
      <x:c r="A8" s="30" t="str">
        <x:v>Phone number</x:v>
      </x:c>
      <x:c r="B8" s="30" t="str">
        <x:v>5075551212</x:v>
      </x:c>
      <x:c r="C8" s="31"/>
      <x:c r="D8" s="30" t="str">
        <x:v>No</x:v>
      </x:c>
      <x:c r="E8" s="30" t="str">
        <x:v>Formatting may be lost</x:v>
      </x:c>
      <x:c r="F8" s="31" t="str"/>
    </x:row>
    <x:row r="9" ht="15" hidden="0" customHeight="1">
      <x:c r="A9" s="30" t="str">
        <x:v>Sales amount</x:v>
      </x:c>
      <x:c r="B9" s="30" t="n">
        <x:v>497.25</x:v>
      </x:c>
      <x:c r="C9" s="31"/>
      <x:c r="D9" s="30" t="str">
        <x:v>Yes</x:v>
      </x:c>
      <x:c r="E9" s="30" t="str">
        <x:v>Cannot total or average correctly</x:v>
      </x:c>
      <x:c r="F9" s="31" t="str"/>
    </x:row>
    <x:row r="10" ht="15" hidden="0" customHeight="1">
      <x:c r="A10" s="30" t="str">
        <x:v>Employee ID</x:v>
      </x:c>
      <x:c r="B10" s="30" t="str">
        <x:v>00497</x:v>
      </x:c>
      <x:c r="C10" s="31"/>
      <x:c r="D10" s="30" t="str">
        <x:v>No</x:v>
      </x:c>
      <x:c r="E10" s="30" t="str">
        <x:v>Leading zeros may be lost</x:v>
      </x:c>
      <x:c r="F10" s="31" t="str"/>
    </x:row>
    <x:row r="11" ht="15" hidden="0" customHeight="1">
      <x:c r="A11" s="30" t="str">
        <x:v>Store temperature</x:v>
      </x:c>
      <x:c r="B11" s="30" t="n">
        <x:v>72.5</x:v>
      </x:c>
      <x:c r="C11" s="31"/>
      <x:c r="D11" s="30" t="str">
        <x:v>Yes</x:v>
      </x:c>
      <x:c r="E11" s="30" t="str">
        <x:v>Comparisons and calculations may fail</x:v>
      </x:c>
      <x:c r="F11" s="31" t="str"/>
    </x:row>
  </x:sheetData>
  <x:mergeCells>
    <x:mergeCell ref="A1:F1"/>
    <x:mergeCell ref="A2:F2"/>
  </x:mergeCells>
  <x:dataValidations count="1">
    <x:dataValidation type="list" sqref="C5:C11">
      <x:formula1>"Text,Number"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8" hidden="0" customWidth="1"/>
    <x:col min="8" max="8" width="14" hidden="0" customWidth="1"/>
  </x:cols>
  <x:sheetData>
    <x:row r="1" ht="57.599998474121094" hidden="0" customHeight="1">
      <x:c r="A1" s="29" t="str">
        <x:v>SmartBean Text Encoding</x:v>
      </x:c>
      <x:c r="B1" s="29"/>
      <x:c r="C1" s="29"/>
      <x:c r="D1" s="29"/>
      <x:c r="E1" s="29"/>
      <x:c r="F1" s="29"/>
      <x:c r="G1" s="29"/>
      <x:c r="H1" s="29"/>
    </x:row>
    <x:row r="2" ht="171.60000610351562" hidden="0" customHeight="1">
      <x:c r="A2" s="12" t="str">
        <x:v>Review how each word is separated into characters, converted to ASCII character codes, and represented in binary. Focus on what the results mean rather than memorizing the codes.</x:v>
      </x:c>
      <x:c r="B2" s="12"/>
      <x:c r="C2" s="12"/>
      <x:c r="D2" s="12"/>
      <x:c r="E2" s="12"/>
      <x:c r="F2" s="12"/>
      <x:c r="G2" s="12"/>
      <x:c r="H2" s="12"/>
    </x:row>
    <x:row r="3" ht="15" hidden="0" customHeight="1">
      <x:c r="A3" s="30"/>
      <x:c r="B3" s="30"/>
      <x:c r="C3" s="30"/>
      <x:c r="D3" s="30"/>
      <x:c r="E3" s="30"/>
      <x:c r="F3" s="30"/>
      <x:c r="G3" s="30"/>
      <x:c r="H3" s="30"/>
    </x:row>
    <x:row r="4" ht="15" hidden="0" customHeight="1">
      <x:c r="A4" s="20" t="str">
        <x:v>Word</x:v>
      </x:c>
      <x:c r="B4" s="20" t="str">
        <x:v>Letter 1</x:v>
      </x:c>
      <x:c r="C4" s="20" t="str">
        <x:v>Letter 2</x:v>
      </x:c>
      <x:c r="D4" s="20" t="str">
        <x:v>Letter 3</x:v>
      </x:c>
      <x:c r="E4" s="20" t="str">
        <x:v>Letter 4</x:v>
      </x:c>
      <x:c r="F4" s="20" t="str">
        <x:v>Letter 5</x:v>
      </x:c>
      <x:c r="G4" s="20" t="str">
        <x:v>Meaning</x:v>
      </x:c>
      <x:c r="H4" s="20" t="str">
        <x:v>Status</x:v>
      </x:c>
    </x:row>
    <x:row r="5" ht="26.399999618530273" hidden="0" customHeight="1">
      <x:c r="A5" s="30" t="str">
        <x:v>Bean</x:v>
      </x:c>
      <x:c r="B5" s="30" t="str">
        <x:f>IF(1&gt;LEN($A5),"",MID($A5,1,1))</x:f>
        <x:v>B</x:v>
      </x:c>
      <x:c r="C5" s="30" t="str">
        <x:f>IF(2&gt;LEN($A5),"",MID($A5,2,1))</x:f>
        <x:v>e</x:v>
      </x:c>
      <x:c r="D5" s="30" t="str">
        <x:f>IF(3&gt;LEN($A5),"",MID($A5,3,1))</x:f>
        <x:v>a</x:v>
      </x:c>
      <x:c r="E5" s="30" t="str">
        <x:f>IF(4&gt;LEN($A5),"",MID($A5,4,1))</x:f>
        <x:v>n</x:v>
      </x:c>
      <x:c r="F5" s="30" t="str">
        <x:f>IF(5&gt;LEN($A5),"",MID($A5,5,1))</x:f>
      </x:c>
      <x:c r="G5" s="30" t="str">
        <x:v>Each character is encoded separately so computers can store and exchange text.</x:v>
      </x:c>
      <x:c r="H5" s="30" t="str">
        <x:v>Review</x:v>
      </x:c>
    </x:row>
    <x:row r="6" ht="15" hidden="0" customHeight="1">
      <x:c r="A6" s="30" t="str">
        <x:v>ASCII</x:v>
      </x:c>
      <x:c r="B6" s="30" t="n">
        <x:f>IF(B5="","",CODE(B5))</x:f>
        <x:v>66</x:v>
      </x:c>
      <x:c r="C6" s="30" t="n">
        <x:f>IF(C5="","",CODE(C5))</x:f>
        <x:v>101</x:v>
      </x:c>
      <x:c r="D6" s="30" t="n">
        <x:f>IF(D5="","",CODE(D5))</x:f>
        <x:v>97</x:v>
      </x:c>
      <x:c r="E6" s="30" t="n">
        <x:f>IF(E5="","",CODE(E5))</x:f>
        <x:v>110</x:v>
      </x:c>
      <x:c r="F6" s="30" t="str">
        <x:f>IF(F5="","",CODE(F5))</x:f>
      </x:c>
      <x:c r="G6" s="30"/>
      <x:c r="H6" s="30"/>
    </x:row>
    <x:row r="7" ht="15" hidden="0" customHeight="1">
      <x:c r="A7" s="30" t="str">
        <x:v>Binary</x:v>
      </x:c>
      <x:c r="B7" s="30" t="str">
        <x:f>IF(B6="","",DEC2BIN(B6,8))</x:f>
        <x:v>01000010</x:v>
      </x:c>
      <x:c r="C7" s="30" t="str">
        <x:f>IF(C6="","",DEC2BIN(C6,8))</x:f>
        <x:v>01100101</x:v>
      </x:c>
      <x:c r="D7" s="30" t="str">
        <x:f>IF(D6="","",DEC2BIN(D6,8))</x:f>
        <x:v>01100001</x:v>
      </x:c>
      <x:c r="E7" s="30" t="str">
        <x:f>IF(E6="","",DEC2BIN(E6,8))</x:f>
        <x:v>01101110</x:v>
      </x:c>
      <x:c r="F7" s="30" t="str">
        <x:f>IF(F6="","",DEC2BIN(F6,8))</x:f>
      </x:c>
      <x:c r="G7" s="30"/>
      <x:c r="H7" s="30"/>
    </x:row>
    <x:row r="8" ht="15" hidden="0" customHeight="1">
      <x:c r="A8" s="30"/>
      <x:c r="B8" s="30"/>
      <x:c r="C8" s="30"/>
      <x:c r="D8" s="30"/>
      <x:c r="E8" s="30"/>
      <x:c r="F8" s="30"/>
      <x:c r="G8" s="30"/>
      <x:c r="H8" s="30"/>
    </x:row>
    <x:row r="9" ht="15" hidden="0" customHeight="1">
      <x:c r="A9" s="30"/>
      <x:c r="B9" s="30"/>
      <x:c r="C9" s="30"/>
      <x:c r="D9" s="30"/>
      <x:c r="E9" s="30"/>
      <x:c r="F9" s="30"/>
      <x:c r="G9" s="30"/>
      <x:c r="H9" s="30"/>
    </x:row>
    <x:row r="10" ht="26.399999618530273" hidden="0" customHeight="1">
      <x:c r="A10" s="30" t="str">
        <x:v>Mocha</x:v>
      </x:c>
      <x:c r="B10" s="30" t="str">
        <x:f>IF(1&gt;LEN($A10),"",MID($A10,1,1))</x:f>
        <x:v>M</x:v>
      </x:c>
      <x:c r="C10" s="30" t="str">
        <x:f>IF(2&gt;LEN($A10),"",MID($A10,2,1))</x:f>
        <x:v>o</x:v>
      </x:c>
      <x:c r="D10" s="30" t="str">
        <x:f>IF(3&gt;LEN($A10),"",MID($A10,3,1))</x:f>
        <x:v>c</x:v>
      </x:c>
      <x:c r="E10" s="30" t="str">
        <x:f>IF(4&gt;LEN($A10),"",MID($A10,4,1))</x:f>
        <x:v>h</x:v>
      </x:c>
      <x:c r="F10" s="30" t="str">
        <x:f>IF(5&gt;LEN($A10),"",MID($A10,5,1))</x:f>
        <x:v>a</x:v>
      </x:c>
      <x:c r="G10" s="30" t="str">
        <x:v>Each character is encoded separately so computers can store and exchange text.</x:v>
      </x:c>
      <x:c r="H10" s="30" t="str">
        <x:v>Review</x:v>
      </x:c>
    </x:row>
    <x:row r="11" ht="15" hidden="0" customHeight="1">
      <x:c r="A11" s="30" t="str">
        <x:v>ASCII</x:v>
      </x:c>
      <x:c r="B11" s="30" t="n">
        <x:f>IF(B10="","",CODE(B10))</x:f>
        <x:v>77</x:v>
      </x:c>
      <x:c r="C11" s="30" t="n">
        <x:f>IF(C10="","",CODE(C10))</x:f>
        <x:v>111</x:v>
      </x:c>
      <x:c r="D11" s="30" t="n">
        <x:f>IF(D10="","",CODE(D10))</x:f>
        <x:v>99</x:v>
      </x:c>
      <x:c r="E11" s="30" t="n">
        <x:f>IF(E10="","",CODE(E10))</x:f>
        <x:v>104</x:v>
      </x:c>
      <x:c r="F11" s="30" t="n">
        <x:f>IF(F10="","",CODE(F10))</x:f>
        <x:v>97</x:v>
      </x:c>
      <x:c r="G11" s="30"/>
      <x:c r="H11" s="30"/>
    </x:row>
    <x:row r="12" ht="15" hidden="0" customHeight="1">
      <x:c r="A12" s="30" t="str">
        <x:v>Binary</x:v>
      </x:c>
      <x:c r="B12" s="30" t="str">
        <x:f>IF(B11="","",DEC2BIN(B11,8))</x:f>
        <x:v>01001101</x:v>
      </x:c>
      <x:c r="C12" s="30" t="str">
        <x:f>IF(C11="","",DEC2BIN(C11,8))</x:f>
        <x:v>01101111</x:v>
      </x:c>
      <x:c r="D12" s="30" t="str">
        <x:f>IF(D11="","",DEC2BIN(D11,8))</x:f>
        <x:v>01100011</x:v>
      </x:c>
      <x:c r="E12" s="30" t="str">
        <x:f>IF(E11="","",DEC2BIN(E11,8))</x:f>
        <x:v>01101000</x:v>
      </x:c>
      <x:c r="F12" s="30" t="str">
        <x:f>IF(F11="","",DEC2BIN(F11,8))</x:f>
        <x:v>01100001</x:v>
      </x:c>
      <x:c r="G12" s="30"/>
      <x:c r="H12" s="30"/>
    </x:row>
    <x:row r="13" ht="15" hidden="0" customHeight="1">
      <x:c r="A13" s="30"/>
      <x:c r="B13" s="30"/>
      <x:c r="C13" s="30"/>
      <x:c r="D13" s="30"/>
      <x:c r="E13" s="30"/>
      <x:c r="F13" s="30"/>
      <x:c r="G13" s="30"/>
      <x:c r="H13" s="30"/>
    </x:row>
    <x:row r="14" ht="15" hidden="0" customHeight="1">
      <x:c r="A14" s="30"/>
      <x:c r="B14" s="30"/>
      <x:c r="C14" s="30"/>
      <x:c r="D14" s="30"/>
      <x:c r="E14" s="30"/>
      <x:c r="F14" s="30"/>
      <x:c r="G14" s="30"/>
      <x:c r="H14" s="30"/>
    </x:row>
    <x:row r="15" ht="26.399999618530273" hidden="0" customHeight="1">
      <x:c r="A15" s="30" t="str">
        <x:v>Latte</x:v>
      </x:c>
      <x:c r="B15" s="30" t="str">
        <x:f>IF(1&gt;LEN($A15),"",MID($A15,1,1))</x:f>
        <x:v>L</x:v>
      </x:c>
      <x:c r="C15" s="30" t="str">
        <x:f>IF(2&gt;LEN($A15),"",MID($A15,2,1))</x:f>
        <x:v>a</x:v>
      </x:c>
      <x:c r="D15" s="30" t="str">
        <x:f>IF(3&gt;LEN($A15),"",MID($A15,3,1))</x:f>
        <x:v>t</x:v>
      </x:c>
      <x:c r="E15" s="30" t="str">
        <x:f>IF(4&gt;LEN($A15),"",MID($A15,4,1))</x:f>
        <x:v>t</x:v>
      </x:c>
      <x:c r="F15" s="30" t="str">
        <x:f>IF(5&gt;LEN($A15),"",MID($A15,5,1))</x:f>
        <x:v>e</x:v>
      </x:c>
      <x:c r="G15" s="30" t="str">
        <x:v>Each character is encoded separately so computers can store and exchange text.</x:v>
      </x:c>
      <x:c r="H15" s="30" t="str">
        <x:v>Review</x:v>
      </x:c>
    </x:row>
    <x:row r="16" ht="15" hidden="0" customHeight="1">
      <x:c r="A16" s="30" t="str">
        <x:v>ASCII</x:v>
      </x:c>
      <x:c r="B16" s="30" t="n">
        <x:f>IF(B15="","",CODE(B15))</x:f>
        <x:v>76</x:v>
      </x:c>
      <x:c r="C16" s="30" t="n">
        <x:f>IF(C15="","",CODE(C15))</x:f>
        <x:v>97</x:v>
      </x:c>
      <x:c r="D16" s="30" t="n">
        <x:f>IF(D15="","",CODE(D15))</x:f>
        <x:v>116</x:v>
      </x:c>
      <x:c r="E16" s="30" t="n">
        <x:f>IF(E15="","",CODE(E15))</x:f>
        <x:v>116</x:v>
      </x:c>
      <x:c r="F16" s="30" t="n">
        <x:f>IF(F15="","",CODE(F15))</x:f>
        <x:v>101</x:v>
      </x:c>
      <x:c r="G16" s="30"/>
      <x:c r="H16" s="30"/>
    </x:row>
    <x:row r="17" ht="15" hidden="0" customHeight="1">
      <x:c r="A17" s="30" t="str">
        <x:v>Binary</x:v>
      </x:c>
      <x:c r="B17" s="30" t="str">
        <x:f>IF(B16="","",DEC2BIN(B16,8))</x:f>
        <x:v>01001100</x:v>
      </x:c>
      <x:c r="C17" s="30" t="str">
        <x:f>IF(C16="","",DEC2BIN(C16,8))</x:f>
        <x:v>01100001</x:v>
      </x:c>
      <x:c r="D17" s="30" t="str">
        <x:f>IF(D16="","",DEC2BIN(D16,8))</x:f>
        <x:v>01110100</x:v>
      </x:c>
      <x:c r="E17" s="30" t="str">
        <x:f>IF(E16="","",DEC2BIN(E16,8))</x:f>
        <x:v>01110100</x:v>
      </x:c>
      <x:c r="F17" s="30" t="str">
        <x:f>IF(F16="","",DEC2BIN(F16,8))</x:f>
        <x:v>01100101</x:v>
      </x:c>
      <x:c r="G17" s="30"/>
      <x:c r="H17" s="30"/>
    </x:row>
  </x:sheetData>
  <x:mergeCells>
    <x:mergeCell ref="A1:H1"/>
    <x:mergeCell ref="A2:H2"/>
    <x:mergeCell ref="G5:G7"/>
    <x:mergeCell ref="H5:H7"/>
    <x:mergeCell ref="G10:G12"/>
    <x:mergeCell ref="H10:H12"/>
    <x:mergeCell ref="G15:G17"/>
    <x:mergeCell ref="H15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0" hidden="0" customWidth="1"/>
    <x:col min="5" max="5" width="30" hidden="0" customWidth="1"/>
    <x:col min="6" max="6" width="30" hidden="0" customWidth="1"/>
    <x:col min="7" max="7" width="28" hidden="0" customWidth="1"/>
    <x:col min="8" max="8" width="28" hidden="0" customWidth="1"/>
  </x:cols>
  <x:sheetData>
    <x:row r="1" ht="76.80000305175781" hidden="0" customHeight="1">
      <x:c r="A1" s="29" t="str">
        <x:v>SmartBean Number 497 versus Text “497”</x:v>
      </x:c>
      <x:c r="B1" s="29"/>
      <x:c r="C1" s="29"/>
      <x:c r="D1" s="29"/>
      <x:c r="E1" s="29"/>
      <x:c r="F1" s="29"/>
      <x:c r="G1" s="29"/>
      <x:c r="H1" s="29"/>
    </x:row>
    <x:row r="2" ht="158.39999389648438" hidden="0" customHeight="1">
      <x:c r="A2" s="12" t="str">
        <x:v>The number 497 represents a quantity that can be used in arithmetic. The text “497” represents three characters. Review the different operations and encodings.</x:v>
      </x:c>
      <x:c r="B2" s="12"/>
      <x:c r="C2" s="12"/>
      <x:c r="D2" s="12"/>
      <x:c r="E2" s="12"/>
      <x:c r="F2" s="12"/>
      <x:c r="G2" s="12"/>
      <x:c r="H2" s="12"/>
    </x:row>
    <x:row r="3" ht="15" hidden="0" customHeight="1">
      <x:c r="A3" s="30"/>
      <x:c r="B3" s="30"/>
      <x:c r="C3" s="30"/>
      <x:c r="D3" s="30"/>
      <x:c r="E3" s="30"/>
      <x:c r="F3" s="30"/>
      <x:c r="G3" s="30"/>
      <x:c r="H3" s="30"/>
    </x:row>
    <x:row r="4" ht="15" hidden="0" customHeight="1">
      <x:c r="A4" s="20" t="str">
        <x:v>Value</x:v>
      </x:c>
      <x:c r="B4" s="20" t="str">
        <x:v>Stored As</x:v>
      </x:c>
      <x:c r="C4" s="20" t="str">
        <x:v>Arithmetic Example</x:v>
      </x:c>
      <x:c r="D4" s="20" t="str">
        <x:v>Arithmetic Result</x:v>
      </x:c>
      <x:c r="E4" s="20" t="str">
        <x:v>Character Encoding</x:v>
      </x:c>
      <x:c r="F4" s="20" t="str">
        <x:v>Binary Representation</x:v>
      </x:c>
      <x:c r="G4" s="20" t="str">
        <x:v>Database Use</x:v>
      </x:c>
      <x:c r="H4" s="20" t="str">
        <x:v>Interpretation</x:v>
      </x:c>
    </x:row>
    <x:row r="5" ht="15" hidden="0" customHeight="1">
      <x:c r="A5" s="30" t="n">
        <x:v>497</x:v>
      </x:c>
      <x:c r="B5" s="30" t="str">
        <x:v>Number</x:v>
      </x:c>
      <x:c r="C5" s="37" t="n">
        <x:f>A5+3</x:f>
        <x:v>500</x:v>
      </x:c>
      <x:c r="D5" s="37" t="n">
        <x:f>C5</x:f>
        <x:v>500</x:v>
      </x:c>
      <x:c r="E5" s="37" t="str">
        <x:v>Not encoded as separate characters</x:v>
      </x:c>
      <x:c r="F5" s="37" t="str">
        <x:f>DEC2BIN(A5)</x:f>
        <x:v>111110001</x:v>
      </x:c>
      <x:c r="G5" s="30" t="str">
        <x:v>Quantity such as units sold</x:v>
      </x:c>
      <x:c r="H5" s="30" t="str">
        <x:v>Use for arithmetic</x:v>
      </x:c>
    </x:row>
    <x:row r="6" ht="15" hidden="0" customHeight="1">
      <x:c r="A6" s="30" t="str">
        <x:v>497</x:v>
      </x:c>
      <x:c r="B6" s="30" t="str">
        <x:v>Text</x:v>
      </x:c>
      <x:c r="C6" s="37" t="str">
        <x:f>A6&amp;"3"</x:f>
        <x:v>4973</x:v>
      </x:c>
      <x:c r="D6" s="37" t="str">
        <x:f>C6</x:f>
        <x:v>4973</x:v>
      </x:c>
      <x:c r="E6" s="37" t="str">
        <x:v>ASCII for 4, 9, and 7</x:v>
      </x:c>
      <x:c r="F6" s="37" t="str">
        <x:v>00110100 00111001 00110111</x:v>
      </x:c>
      <x:c r="G6" s="30" t="str">
        <x:v>Identifier such as product code</x:v>
      </x:c>
      <x:c r="H6" s="30" t="str">
        <x:v>Preserve exact characters</x:v>
      </x:c>
    </x:row>
    <x:row r="7" ht="15" hidden="0" customHeight="1">
      <x:c r="A7" s="30"/>
      <x:c r="B7" s="30"/>
      <x:c r="C7" s="30"/>
      <x:c r="D7" s="30"/>
      <x:c r="E7" s="30"/>
      <x:c r="F7" s="30"/>
      <x:c r="G7" s="30"/>
      <x:c r="H7" s="30"/>
    </x:row>
    <x:row r="8" ht="158.39999389648438" hidden="0" customHeight="1">
      <x:c r="A8" s="12" t="str">
        <x:v>Trusted information depends on using the correct type. A product code stored as a number may lose leading zeros; a quantity stored as text may not calculate correctly.</x:v>
      </x:c>
      <x:c r="B8" s="12"/>
      <x:c r="C8" s="12"/>
      <x:c r="D8" s="12"/>
      <x:c r="E8" s="12"/>
      <x:c r="F8" s="12"/>
      <x:c r="G8" s="12"/>
      <x:c r="H8" s="12"/>
    </x:row>
  </x:sheetData>
  <x:mergeCells>
    <x:mergeCell ref="A1:H1"/>
    <x:mergeCell ref="A2:H2"/>
    <x:mergeCell ref="A8:H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38" hidden="0" customWidth="1"/>
  </x:cols>
  <x:sheetData>
    <x:row r="1" ht="57.599998474121094" hidden="0" customHeight="1">
      <x:c r="A1" s="29" t="str">
        <x:v>Reference: Data Types, Sorting, and Encoding</x:v>
      </x:c>
      <x:c r="B1" s="29"/>
      <x:c r="C1" s="29"/>
      <x:c r="D1" s="29"/>
    </x:row>
    <x:row r="2" ht="15" hidden="0" customHeight="1">
      <x:c r="A2" s="30"/>
      <x:c r="B2" s="30"/>
      <x:c r="C2" s="30"/>
      <x:c r="D2" s="30"/>
    </x:row>
    <x:row r="3" ht="15" hidden="0" customHeight="1">
      <x:c r="A3" s="20" t="str">
        <x:v>Concept</x:v>
      </x:c>
      <x:c r="B3" s="20" t="str">
        <x:v>Meaning</x:v>
      </x:c>
      <x:c r="C3" s="20" t="str">
        <x:v>Business Example</x:v>
      </x:c>
      <x:c r="D3" s="20" t="str">
        <x:v>Why It Matters</x:v>
      </x:c>
    </x:row>
    <x:row r="4" ht="15" hidden="0" customHeight="1">
      <x:c r="A4" s="30" t="str">
        <x:v>Number</x:v>
      </x:c>
      <x:c r="B4" s="30" t="str">
        <x:v>Value used in arithmetic</x:v>
      </x:c>
      <x:c r="C4" s="30" t="str">
        <x:v>Units sold, sales amount</x:v>
      </x:c>
      <x:c r="D4" s="30" t="str">
        <x:v>Supports totals, averages, and comparisons</x:v>
      </x:c>
    </x:row>
    <x:row r="5" ht="15" hidden="0" customHeight="1">
      <x:c r="A5" s="30" t="str">
        <x:v>Text</x:v>
      </x:c>
      <x:c r="B5" s="30" t="str">
        <x:v>Characters used for labels or identifiers</x:v>
      </x:c>
      <x:c r="C5" s="30" t="str">
        <x:v>ZIP code, product ID</x:v>
      </x:c>
      <x:c r="D5" s="30" t="str">
        <x:v>Preserves leading zeros and exact characters</x:v>
      </x:c>
    </x:row>
    <x:row r="6" ht="15" hidden="0" customHeight="1">
      <x:c r="A6" s="30" t="str">
        <x:v>Numeric sort</x:v>
      </x:c>
      <x:c r="B6" s="30" t="str">
        <x:v>Orders by mathematical value</x:v>
      </x:c>
      <x:c r="C6" s="30" t="str">
        <x:v>10, 110, 195, 283</x:v>
      </x:c>
      <x:c r="D6" s="30" t="str">
        <x:v>Correct for quantities</x:v>
      </x:c>
    </x:row>
    <x:row r="7" ht="15" hidden="0" customHeight="1">
      <x:c r="A7" s="30" t="str">
        <x:v>Text sort</x:v>
      </x:c>
      <x:c r="B7" s="30" t="str">
        <x:v>Orders character by character</x:v>
      </x:c>
      <x:c r="C7" s="30" t="str">
        <x:v>0110, 10, 195, 283</x:v>
      </x:c>
      <x:c r="D7" s="30" t="str">
        <x:v>Correct for codes and words</x:v>
      </x:c>
    </x:row>
    <x:row r="8" ht="15" hidden="0" customHeight="1">
      <x:c r="A8" s="30" t="str">
        <x:v>ASCII</x:v>
      </x:c>
      <x:c r="B8" s="30" t="str">
        <x:v>Character code standard</x:v>
      </x:c>
      <x:c r="C8" s="30" t="str">
        <x:v>A character mapped to a number</x:v>
      </x:c>
      <x:c r="D8" s="30" t="str">
        <x:v>Allows systems to store and exchange text</x:v>
      </x:c>
    </x:row>
    <x:row r="9" ht="15" hidden="0" customHeight="1">
      <x:c r="A9" s="30" t="str">
        <x:v>Trusted information</x:v>
      </x:c>
      <x:c r="B9" s="30" t="str">
        <x:v>Accurate, consistent, appropriate data</x:v>
      </x:c>
      <x:c r="C9" s="30" t="str">
        <x:v>Correct field types and encoding</x:v>
      </x:c>
      <x:c r="D9" s="30" t="str">
        <x:v>Improves queries, reports, and decisions</x:v>
      </x:c>
    </x:row>
  </x:sheetData>
  <x:mergeCells>
    <x:mergeCell ref="A1:D1"/>
  </x:mergeCells>
  <x:pageMargins left="0.7" right="0.7" top="0.75" bottom="0.75" header="0.3" footer="0.3"/>
</x:worksheet>
</file>