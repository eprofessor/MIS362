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nscu-my.sharepoint.com/personal/wp8798rh_minnstate_edu/Documents/GitHub/eprof1/MIS362_AI/Formative08/"/>
    </mc:Choice>
  </mc:AlternateContent>
  <xr:revisionPtr revIDLastSave="1" documentId="11_BFBE554321BEDD6A1499457C9F54C7FB43F4E4EB" xr6:coauthVersionLast="47" xr6:coauthVersionMax="47" xr10:uidLastSave="{FA10EF69-C44D-490F-9781-693D645B5D47}"/>
  <bookViews>
    <workbookView xWindow="-108" yWindow="-108" windowWidth="23256" windowHeight="13896" activeTab="2" xr2:uid="{00000000-000D-0000-FFFF-FFFF00000000}"/>
  </bookViews>
  <sheets>
    <sheet name="1-TransactionProcessing" sheetId="1" r:id="rId1"/>
    <sheet name="2-IntegratedUpdates" sheetId="2" r:id="rId2"/>
    <sheet name="3-ProcureToPayProcess" sheetId="3" r:id="rId3"/>
    <sheet name="4-ERPReadiness" sheetId="4" r:id="rId4"/>
    <sheet name="Referenc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4" l="1"/>
  <c r="B18" i="4" s="1"/>
  <c r="D14" i="4"/>
  <c r="D13" i="4"/>
  <c r="D12" i="4"/>
  <c r="D11" i="4"/>
  <c r="D10" i="4"/>
  <c r="D9" i="4"/>
  <c r="D8" i="4"/>
  <c r="D7" i="4"/>
  <c r="D6" i="4"/>
  <c r="D5" i="4"/>
  <c r="P5" i="1"/>
  <c r="O5" i="1"/>
  <c r="B20" i="4" l="1"/>
  <c r="B19" i="4"/>
</calcChain>
</file>

<file path=xl/sharedStrings.xml><?xml version="1.0" encoding="utf-8"?>
<sst xmlns="http://schemas.openxmlformats.org/spreadsheetml/2006/main" count="772" uniqueCount="402">
  <si>
    <t>SmartBean Ingredient Transactions — Transaction Processing and Controls</t>
  </si>
  <si>
    <t>Review 50 ingredient purchasing transactions from request through supplier payment. Use the simple and complex example formulas in the first data row, then Fill Down through all records. The dataset intentionally contains duplicates, missing values, invalid quantities, receipt differences, and invoice differences.</t>
  </si>
  <si>
    <t>Request ID</t>
  </si>
  <si>
    <t>Request Date</t>
  </si>
  <si>
    <t>Store</t>
  </si>
  <si>
    <t>Ingredient ID</t>
  </si>
  <si>
    <t>Ingredient</t>
  </si>
  <si>
    <t>Qty Requested</t>
  </si>
  <si>
    <t>Unit</t>
  </si>
  <si>
    <t>Unit Cost</t>
  </si>
  <si>
    <t>Supplier ID</t>
  </si>
  <si>
    <t>Approval Status</t>
  </si>
  <si>
    <t>Purchase Order ID</t>
  </si>
  <si>
    <t>Qty Received</t>
  </si>
  <si>
    <t>Invoice Amount</t>
  </si>
  <si>
    <t>Payment Status</t>
  </si>
  <si>
    <t>Expected Line Total</t>
  </si>
  <si>
    <t>Exception Check</t>
  </si>
  <si>
    <t>Student Verified?</t>
  </si>
  <si>
    <t>Current Stage</t>
  </si>
  <si>
    <t>REQ-1001</t>
  </si>
  <si>
    <t>Main Café</t>
  </si>
  <si>
    <t>ING-COF-01</t>
  </si>
  <si>
    <t>Coffee beans</t>
  </si>
  <si>
    <t>lb</t>
  </si>
  <si>
    <t>SUP-101</t>
  </si>
  <si>
    <t>Approved</t>
  </si>
  <si>
    <t>PO-5001</t>
  </si>
  <si>
    <t>Paid</t>
  </si>
  <si>
    <t>Complete</t>
  </si>
  <si>
    <t>REQ-1002</t>
  </si>
  <si>
    <t>Branch Café</t>
  </si>
  <si>
    <t>ING-MLK-01</t>
  </si>
  <si>
    <t>Whole milk</t>
  </si>
  <si>
    <t>gal</t>
  </si>
  <si>
    <t>SUP-102</t>
  </si>
  <si>
    <t>PO-5002</t>
  </si>
  <si>
    <t>Pending</t>
  </si>
  <si>
    <t>Payment</t>
  </si>
  <si>
    <t>REQ-1003</t>
  </si>
  <si>
    <t>Mobile Event Unit</t>
  </si>
  <si>
    <t>ING-OML-01</t>
  </si>
  <si>
    <t>Oat milk</t>
  </si>
  <si>
    <t>case</t>
  </si>
  <si>
    <t>PO-5003</t>
  </si>
  <si>
    <t>REQ-1004</t>
  </si>
  <si>
    <t>ING-SYR-01</t>
  </si>
  <si>
    <t>Vanilla syrup</t>
  </si>
  <si>
    <t>bottle</t>
  </si>
  <si>
    <t>SUP-103</t>
  </si>
  <si>
    <t>PO-5004</t>
  </si>
  <si>
    <t>Hold</t>
  </si>
  <si>
    <t>Invoice Review</t>
  </si>
  <si>
    <t>REQ-1005</t>
  </si>
  <si>
    <t>ING-CUP-12</t>
  </si>
  <si>
    <t>12 oz cups</t>
  </si>
  <si>
    <t>SUP-104</t>
  </si>
  <si>
    <t>PO-5005</t>
  </si>
  <si>
    <t>ING-LID-12</t>
  </si>
  <si>
    <t>12 oz lids</t>
  </si>
  <si>
    <t>PO-5006</t>
  </si>
  <si>
    <t>REQ-1007</t>
  </si>
  <si>
    <t>ING-NAP-01</t>
  </si>
  <si>
    <t>Napkins</t>
  </si>
  <si>
    <t>SUP-105</t>
  </si>
  <si>
    <t>PO-5007</t>
  </si>
  <si>
    <t>REQ-1008</t>
  </si>
  <si>
    <t>ING-SUG-01</t>
  </si>
  <si>
    <t>Sugar packets</t>
  </si>
  <si>
    <t>PO-5008</t>
  </si>
  <si>
    <t>REQ-1009</t>
  </si>
  <si>
    <t>ING-TEA-01</t>
  </si>
  <si>
    <t>Tea bags</t>
  </si>
  <si>
    <t>box</t>
  </si>
  <si>
    <t>SUP-106</t>
  </si>
  <si>
    <t>PO-5009</t>
  </si>
  <si>
    <t>REQ-1010</t>
  </si>
  <si>
    <t>ING-CHO-01</t>
  </si>
  <si>
    <t>Chocolate sauce</t>
  </si>
  <si>
    <t>PO-5010</t>
  </si>
  <si>
    <t>REQ-1011</t>
  </si>
  <si>
    <t>PO-5011</t>
  </si>
  <si>
    <t>REQ-1012</t>
  </si>
  <si>
    <t>PO-5012</t>
  </si>
  <si>
    <t>REQ-1013</t>
  </si>
  <si>
    <t>PO-5013</t>
  </si>
  <si>
    <t>REQ-1014</t>
  </si>
  <si>
    <t>PO-5014</t>
  </si>
  <si>
    <t>REQ-1015</t>
  </si>
  <si>
    <t>PO-5015</t>
  </si>
  <si>
    <t>REQ-1016</t>
  </si>
  <si>
    <t>PO-5016</t>
  </si>
  <si>
    <t>REQ-1017</t>
  </si>
  <si>
    <t>PO-5017</t>
  </si>
  <si>
    <t>REQ-1018</t>
  </si>
  <si>
    <t>PO-5018</t>
  </si>
  <si>
    <t>REQ-1019</t>
  </si>
  <si>
    <t>PO-5019</t>
  </si>
  <si>
    <t>REQ-1020</t>
  </si>
  <si>
    <t>PO-5020</t>
  </si>
  <si>
    <t>REQ-1021</t>
  </si>
  <si>
    <t>PO-5021</t>
  </si>
  <si>
    <t>REQ-1022</t>
  </si>
  <si>
    <t>PO-5022</t>
  </si>
  <si>
    <t>REQ-1023</t>
  </si>
  <si>
    <t>PO-5023</t>
  </si>
  <si>
    <t>Approval</t>
  </si>
  <si>
    <t>REQ-1024</t>
  </si>
  <si>
    <t>PO-5024</t>
  </si>
  <si>
    <t>REQ-1025</t>
  </si>
  <si>
    <t>PO-5025</t>
  </si>
  <si>
    <t>REQ-1026</t>
  </si>
  <si>
    <t>PO-5026</t>
  </si>
  <si>
    <t>REQ-1027</t>
  </si>
  <si>
    <t>PO-5027</t>
  </si>
  <si>
    <t>REQ-1028</t>
  </si>
  <si>
    <t>Purchase Order</t>
  </si>
  <si>
    <t>REQ-1029</t>
  </si>
  <si>
    <t>PO-5029</t>
  </si>
  <si>
    <t>REQ-1030</t>
  </si>
  <si>
    <t>PO-5030</t>
  </si>
  <si>
    <t>REQ-1031</t>
  </si>
  <si>
    <t>PO-5031</t>
  </si>
  <si>
    <t>REQ-1032</t>
  </si>
  <si>
    <t>PO-5032</t>
  </si>
  <si>
    <t>Receipt Review</t>
  </si>
  <si>
    <t>REQ-1033</t>
  </si>
  <si>
    <t>PO-5033</t>
  </si>
  <si>
    <t>REQ-1034</t>
  </si>
  <si>
    <t>PO-5034</t>
  </si>
  <si>
    <t>REQ-1035</t>
  </si>
  <si>
    <t>PO-5035</t>
  </si>
  <si>
    <t>REQ-1036</t>
  </si>
  <si>
    <t>PO-5036</t>
  </si>
  <si>
    <t>REQ-1037</t>
  </si>
  <si>
    <t>PO-5037</t>
  </si>
  <si>
    <t>REQ-1038</t>
  </si>
  <si>
    <t>PO-5038</t>
  </si>
  <si>
    <t>REQ-1039</t>
  </si>
  <si>
    <t>PO-5039</t>
  </si>
  <si>
    <t>REQ-1040</t>
  </si>
  <si>
    <t>PO-5040</t>
  </si>
  <si>
    <t>REQ-1041</t>
  </si>
  <si>
    <t>PO-5041</t>
  </si>
  <si>
    <t>REQ-1042</t>
  </si>
  <si>
    <t>PO-5042</t>
  </si>
  <si>
    <t>Payment Review</t>
  </si>
  <si>
    <t>REQ-1043</t>
  </si>
  <si>
    <t>PO-5043</t>
  </si>
  <si>
    <t>REQ-1044</t>
  </si>
  <si>
    <t>PO-5044</t>
  </si>
  <si>
    <t>REQ-1045</t>
  </si>
  <si>
    <t>PO-5045</t>
  </si>
  <si>
    <t>REQ-1046</t>
  </si>
  <si>
    <t>PO-5046</t>
  </si>
  <si>
    <t>PO-5047</t>
  </si>
  <si>
    <t>Request Review</t>
  </si>
  <si>
    <t>REQ-1048</t>
  </si>
  <si>
    <t>PO-5048</t>
  </si>
  <si>
    <t>REQ-1049</t>
  </si>
  <si>
    <t>PO-5049</t>
  </si>
  <si>
    <t>REQ-1050</t>
  </si>
  <si>
    <t>PO-5050</t>
  </si>
  <si>
    <t>Formula examples: O5 is the simple calculation example. P5 is the more complex validation example. Use Fill Down to apply both formulas through row 54, then review and verify the exceptions.</t>
  </si>
  <si>
    <t>One Ingredient Purchase — Updates Across an Integrated Enterprise System</t>
  </si>
  <si>
    <t>Follow one ingredient request through purchasing, inventory, accounts payable, cash management, and management reporting. An integrated ERP system uses shared data so each authorized function can work from the same transaction.</t>
  </si>
  <si>
    <t>Business Event</t>
  </si>
  <si>
    <t>Primary Module or Function</t>
  </si>
  <si>
    <t>Shared Data Updated</t>
  </si>
  <si>
    <t>Decision or Control</t>
  </si>
  <si>
    <t>Output</t>
  </si>
  <si>
    <t>Problem with Separate Applications</t>
  </si>
  <si>
    <t>Integrated ERP Benefit</t>
  </si>
  <si>
    <t>Student Note</t>
  </si>
  <si>
    <t>Ingredient request submitted</t>
  </si>
  <si>
    <t>Purchasing</t>
  </si>
  <si>
    <t>Request ID, ingredient, quantity, store</t>
  </si>
  <si>
    <t>Is the request complete and valid?</t>
  </si>
  <si>
    <t>Pending request</t>
  </si>
  <si>
    <t>Repeated entry and inconsistent IDs</t>
  </si>
  <si>
    <t>One shared request starts the process</t>
  </si>
  <si>
    <t>Manager approves request</t>
  </si>
  <si>
    <t>Workflow / Purchasing</t>
  </si>
  <si>
    <t>Approval status and approver</t>
  </si>
  <si>
    <t>Is the purchase authorized?</t>
  </si>
  <si>
    <t>Approved request</t>
  </si>
  <si>
    <t>Approval may be stored outside the purchasing record</t>
  </si>
  <si>
    <t>Approval is attached to the transaction</t>
  </si>
  <si>
    <t>Purchase order issued</t>
  </si>
  <si>
    <t>Purchasing / Supplier management</t>
  </si>
  <si>
    <t>PO number, supplier, expected amount</t>
  </si>
  <si>
    <t>Is the supplier approved?</t>
  </si>
  <si>
    <t>Purchase order</t>
  </si>
  <si>
    <t>Supplier and order data may be duplicated</t>
  </si>
  <si>
    <t>Supplier and PO data use shared master records</t>
  </si>
  <si>
    <t>Ingredients received</t>
  </si>
  <si>
    <t>Inventory / Receiving</t>
  </si>
  <si>
    <t>Received quantity and date</t>
  </si>
  <si>
    <t>Does receipt match the PO?</t>
  </si>
  <si>
    <t>Receipt record and inventory update</t>
  </si>
  <si>
    <t>Inventory may not reflect the receipt promptly</t>
  </si>
  <si>
    <t>Inventory updates from the receiving transaction</t>
  </si>
  <si>
    <t>Supplier invoice recorded</t>
  </si>
  <si>
    <t>Accounts payable</t>
  </si>
  <si>
    <t>Invoice amount and invoice number</t>
  </si>
  <si>
    <t>Does invoice match PO and receipt?</t>
  </si>
  <si>
    <t>Approved or held invoice</t>
  </si>
  <si>
    <t>Invoice matching may be manual and disconnected</t>
  </si>
  <si>
    <t>Three-way match uses shared transaction data</t>
  </si>
  <si>
    <t>Payment authorized</t>
  </si>
  <si>
    <t>Finance / Accounts payable</t>
  </si>
  <si>
    <t>Payment status and due date</t>
  </si>
  <si>
    <t>Is the invoice approved for payment?</t>
  </si>
  <si>
    <t>Payment instruction</t>
  </si>
  <si>
    <t>Payment may occur without current receipt data</t>
  </si>
  <si>
    <t>Payment depends on integrated approval and match results</t>
  </si>
  <si>
    <t>Management reviews results</t>
  </si>
  <si>
    <t>Reporting / Analytics</t>
  </si>
  <si>
    <t>Spend, exceptions, cycle time, supplier performance</t>
  </si>
  <si>
    <t>Are trends or problems visible?</t>
  </si>
  <si>
    <t>Management report</t>
  </si>
  <si>
    <t>Reports require reconciliation across systems</t>
  </si>
  <si>
    <t>Reports use one consistent transaction history</t>
  </si>
  <si>
    <t>The main enterprise-system advantage is not merely faster calculation. It is coordinated use of shared transaction and master data across authorized business functions.</t>
  </si>
  <si>
    <t>SmartBean Procure-to-Pay Process — Ingredient Request Through Supplier Payment</t>
  </si>
  <si>
    <t>Review how a business process connects inputs, processing, stored data, decisions, outputs, responsible people, and ERP modules.</t>
  </si>
  <si>
    <t>Step</t>
  </si>
  <si>
    <t>Process Activity</t>
  </si>
  <si>
    <t>Input</t>
  </si>
  <si>
    <t>Processing</t>
  </si>
  <si>
    <t>Stored Data</t>
  </si>
  <si>
    <t>Responsible Role</t>
  </si>
  <si>
    <t>ERP Module</t>
  </si>
  <si>
    <t>Create ingredient request</t>
  </si>
  <si>
    <t>Low inventory or planned demand</t>
  </si>
  <si>
    <t>Enter ingredient, quantity, store, and need date</t>
  </si>
  <si>
    <t>Purchase request</t>
  </si>
  <si>
    <t>Is the request complete?</t>
  </si>
  <si>
    <t>Request awaiting review</t>
  </si>
  <si>
    <t>Store manager</t>
  </si>
  <si>
    <t>Approve request</t>
  </si>
  <si>
    <t>Review business need and spending authority</t>
  </si>
  <si>
    <t>Approval record</t>
  </si>
  <si>
    <t>Is the request authorized?</t>
  </si>
  <si>
    <t>Approved or rejected request</t>
  </si>
  <si>
    <t>Operations manager</t>
  </si>
  <si>
    <t>Select supplier and issue PO</t>
  </si>
  <si>
    <t>Approved request and supplier master data</t>
  </si>
  <si>
    <t>Choose approved supplier and create purchase order</t>
  </si>
  <si>
    <t>Is supplier and pricing acceptable?</t>
  </si>
  <si>
    <t>Purchase order sent</t>
  </si>
  <si>
    <t>Purchasing specialist</t>
  </si>
  <si>
    <t>Receive ingredients</t>
  </si>
  <si>
    <t>Delivery and purchase order</t>
  </si>
  <si>
    <t>Count and inspect delivered ingredients</t>
  </si>
  <si>
    <t>Receipt record and inventory quantity</t>
  </si>
  <si>
    <t>Accepted receipt or exception</t>
  </si>
  <si>
    <t>Receiving employee</t>
  </si>
  <si>
    <t>Record supplier invoice</t>
  </si>
  <si>
    <t>Supplier invoice, PO, and receipt</t>
  </si>
  <si>
    <t>Enter invoice and perform three-way match</t>
  </si>
  <si>
    <t>Invoice and match status</t>
  </si>
  <si>
    <t>Do PO, receipt, and invoice agree?</t>
  </si>
  <si>
    <t>Accounts payable specialist</t>
  </si>
  <si>
    <t>Authorize payment</t>
  </si>
  <si>
    <t>Approved invoice and payment terms</t>
  </si>
  <si>
    <t>Schedule payment</t>
  </si>
  <si>
    <t>Payment authorization</t>
  </si>
  <si>
    <t>Is payment due and approved?</t>
  </si>
  <si>
    <t>Finance manager</t>
  </si>
  <si>
    <t>Pay supplier and report</t>
  </si>
  <si>
    <t>Send payment and close transaction</t>
  </si>
  <si>
    <t>Payment record and transaction history</t>
  </si>
  <si>
    <t>Was payment completed correctly?</t>
  </si>
  <si>
    <t>Supplier payment and management information</t>
  </si>
  <si>
    <t>Treasury / Accounting</t>
  </si>
  <si>
    <t>Cash management / Reporting</t>
  </si>
  <si>
    <t>Pay particular attention to the approval, receiving, and three-way-match controls. They prevent an incomplete or incorrect transaction from moving directly to payment.</t>
  </si>
  <si>
    <t>SmartBean ERP Pilot Readiness Assessment</t>
  </si>
  <si>
    <t>Rate SmartBean's readiness on a 1–5 scale, where 5 means the condition is well established. The weighted score organizes the analysis but does not replace management judgment.</t>
  </si>
  <si>
    <t>Readiness Criterion</t>
  </si>
  <si>
    <t>Weight</t>
  </si>
  <si>
    <t>Rating (1–5)</t>
  </si>
  <si>
    <t>Weighted Score</t>
  </si>
  <si>
    <t>Current Evidence</t>
  </si>
  <si>
    <t>Main Risk if Weak</t>
  </si>
  <si>
    <t>Student Recommendation</t>
  </si>
  <si>
    <t>Owner</t>
  </si>
  <si>
    <t>Standard ingredient and product IDs</t>
  </si>
  <si>
    <t>Most items use defined IDs</t>
  </si>
  <si>
    <t>Duplicate or unmatched records</t>
  </si>
  <si>
    <t>Data owner</t>
  </si>
  <si>
    <t>Accurate supplier master data</t>
  </si>
  <si>
    <t>Approved supplier list exists</t>
  </si>
  <si>
    <t>Wrong supplier, price, or payment terms</t>
  </si>
  <si>
    <t>Documented approval rules</t>
  </si>
  <si>
    <t>Managers approve most requests</t>
  </si>
  <si>
    <t>Unauthorized purchases</t>
  </si>
  <si>
    <t>Operations</t>
  </si>
  <si>
    <t>Standard procure-to-pay process</t>
  </si>
  <si>
    <t>Main steps are known but exceptions vary</t>
  </si>
  <si>
    <t>Different locations use different processes</t>
  </si>
  <si>
    <t>Process owner</t>
  </si>
  <si>
    <t>Employee training plan</t>
  </si>
  <si>
    <t>No complete training schedule</t>
  </si>
  <si>
    <t>Errors and resistance at launch</t>
  </si>
  <si>
    <t>HR / Project team</t>
  </si>
  <si>
    <t>System and data integration plan</t>
  </si>
  <si>
    <t>Some interfaces identified</t>
  </si>
  <si>
    <t>Duplicate entry or missing updates</t>
  </si>
  <si>
    <t>IT</t>
  </si>
  <si>
    <t>Security roles and permissions</t>
  </si>
  <si>
    <t>Basic roles defined</t>
  </si>
  <si>
    <t>Excess access or weak separation of duties</t>
  </si>
  <si>
    <t>IT / Finance</t>
  </si>
  <si>
    <t>Testing and data-conversion plan</t>
  </si>
  <si>
    <t>Initial testing ideas only</t>
  </si>
  <si>
    <t>Incorrect opening data or failed transactions</t>
  </si>
  <si>
    <t>Project team</t>
  </si>
  <si>
    <t>Change-management and communication plan</t>
  </si>
  <si>
    <t>Informal communication</t>
  </si>
  <si>
    <t>Low adoption and inconsistent use</t>
  </si>
  <si>
    <t>Leadership</t>
  </si>
  <si>
    <t>Executive sponsorship and governance</t>
  </si>
  <si>
    <t>Leadership supports a pilot</t>
  </si>
  <si>
    <t>Unresolved priorities and weak accountability</t>
  </si>
  <si>
    <t>Executive sponsor</t>
  </si>
  <si>
    <t>Total</t>
  </si>
  <si>
    <t>Maximum Possible Score</t>
  </si>
  <si>
    <t>Readiness Percentage</t>
  </si>
  <si>
    <t>Readiness Band</t>
  </si>
  <si>
    <t>Suggested Interpretation</t>
  </si>
  <si>
    <t>Reference: Transaction Processing, ERP, and Procure-to-Pay</t>
  </si>
  <si>
    <t>Concept</t>
  </si>
  <si>
    <t>Meaning</t>
  </si>
  <si>
    <t>SmartBean Example</t>
  </si>
  <si>
    <t>Why It Matters</t>
  </si>
  <si>
    <t>Common Control or Practice</t>
  </si>
  <si>
    <t>Transaction</t>
  </si>
  <si>
    <t>A business event recorded by an information system</t>
  </si>
  <si>
    <t>Ingredient request, receipt, invoice, or payment</t>
  </si>
  <si>
    <t>Transactions create the detailed operational history</t>
  </si>
  <si>
    <t>Unique ID and timestamp</t>
  </si>
  <si>
    <t>Transaction-processing system (TPS)</t>
  </si>
  <si>
    <t>Captures, validates, processes, stores, and reports routine transactions</t>
  </si>
  <si>
    <t>SmartBean purchasing and payment records</t>
  </si>
  <si>
    <t>Supports accurate and timely operations</t>
  </si>
  <si>
    <t>Input validation and exception handling</t>
  </si>
  <si>
    <t>ERP</t>
  </si>
  <si>
    <t>Integrated system using shared data and coordinated processes across business functions</t>
  </si>
  <si>
    <t>Purchasing, inventory, AP, finance, and reporting</t>
  </si>
  <si>
    <t>Reduces duplicate entry and improves process visibility</t>
  </si>
  <si>
    <t>Shared master data and role-based access</t>
  </si>
  <si>
    <t>Master data</t>
  </si>
  <si>
    <t>Relatively stable data reused across many transactions</t>
  </si>
  <si>
    <t>Ingredient, supplier, employee, and store records</t>
  </si>
  <si>
    <t>Consistency is required across modules</t>
  </si>
  <si>
    <t>Named data owner and change approval</t>
  </si>
  <si>
    <t>Transaction data</t>
  </si>
  <si>
    <t>Data created by individual business events</t>
  </si>
  <si>
    <t>Request quantity, receipt quantity, invoice amount</t>
  </si>
  <si>
    <t>Provides evidence of what occurred</t>
  </si>
  <si>
    <t>Reconciliation and audit trail</t>
  </si>
  <si>
    <t>Source of truth</t>
  </si>
  <si>
    <t>Authoritative record used across the organization</t>
  </si>
  <si>
    <t>Approved supplier or ingredient record</t>
  </si>
  <si>
    <t>Prevents conflicting versions</t>
  </si>
  <si>
    <t>Defined ownership and integration</t>
  </si>
  <si>
    <t>Procure-to-pay</t>
  </si>
  <si>
    <t>Process from purchase request through supplier payment</t>
  </si>
  <si>
    <t>Ingredient request to payment</t>
  </si>
  <si>
    <t>Connects operations, purchasing, receiving, and finance</t>
  </si>
  <si>
    <t>Approval and three-way match</t>
  </si>
  <si>
    <t>Three-way match</t>
  </si>
  <si>
    <t>Comparison of purchase order, receipt, and supplier invoice</t>
  </si>
  <si>
    <t>Ordered quantity, received quantity, invoice amount</t>
  </si>
  <si>
    <t>Helps prevent incorrect or unauthorized payments</t>
  </si>
  <si>
    <t>Hold mismatched invoices</t>
  </si>
  <si>
    <t>Specialized application</t>
  </si>
  <si>
    <t>System designed for one function or narrow process</t>
  </si>
  <si>
    <t>Separate inventory or payment application</t>
  </si>
  <si>
    <t>May offer strong local features</t>
  </si>
  <si>
    <t>Interfaces and reconciliation</t>
  </si>
  <si>
    <t>Integrated enterprise system</t>
  </si>
  <si>
    <t>System coordinating multiple functions through shared data</t>
  </si>
  <si>
    <t>One ingredient transaction updates several functions</t>
  </si>
  <si>
    <t>Improves consistency and visibility</t>
  </si>
  <si>
    <t>Governance and standardized processes</t>
  </si>
  <si>
    <t>Person accountable for the complete process across functions</t>
  </si>
  <si>
    <t>Manager responsible for procure-to-pay</t>
  </si>
  <si>
    <t>Prevents local optimization from harming the overall process</t>
  </si>
  <si>
    <t>Defined authority and metrics</t>
  </si>
  <si>
    <t>Data validation</t>
  </si>
  <si>
    <t>Checks whether input is complete, reasonable, and permitted</t>
  </si>
  <si>
    <t>Positive quantity and approved supplier</t>
  </si>
  <si>
    <t>Prevents bad transactions from entering the process</t>
  </si>
  <si>
    <t>Simple and complex validation formulas</t>
  </si>
  <si>
    <t>Reconciliation</t>
  </si>
  <si>
    <t>Comparison of records to identify differences</t>
  </si>
  <si>
    <t>Purchase order, receipt, invoice, and payment</t>
  </si>
  <si>
    <t>Finds missing or inconsistent transactions</t>
  </si>
  <si>
    <t>Exception report and follow-up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</si>
</sst>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
    <numFmt numFmtId="166" formatCode="0.0%"/>
  </numFmts>
  <fonts count="4">
    <font>
      <sz val="11"/>
      <name val="Carlito"/>
    </font>
    <font>
      <b/>
      <sz val="16"/>
      <color rgb="FFFFFFFF"/>
      <name val="Carlito"/>
    </font>
    <font>
      <b/>
      <sz val="11"/>
      <name val="Carlito"/>
    </font>
    <font>
      <b/>
      <sz val="11"/>
      <color rgb="FFFFFFFF"/>
      <name val="Carlito"/>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s>
  <borders count="1">
    <border>
      <left/>
      <right/>
      <top/>
      <bottom/>
      <diagonal/>
    </border>
  </borders>
  <cellStyleXfs count="1">
    <xf numFmtId="0" fontId="0" fillId="0" borderId="0"/>
  </cellStyleXfs>
  <cellXfs count="14">
    <xf numFmtId="0" fontId="0" fillId="0" borderId="0" xfId="0"/>
    <xf numFmtId="0" fontId="3" fillId="4" borderId="0" xfId="0" applyFont="1" applyFill="1" applyAlignment="1">
      <alignment horizontal="center" vertical="center" wrapText="1"/>
    </xf>
    <xf numFmtId="0" fontId="0" fillId="0" borderId="0" xfId="0" applyAlignment="1">
      <alignment wrapText="1"/>
    </xf>
    <xf numFmtId="164" fontId="0" fillId="0" borderId="0" xfId="0" applyNumberFormat="1" applyAlignment="1">
      <alignment wrapText="1"/>
    </xf>
    <xf numFmtId="165" fontId="0" fillId="0" borderId="0" xfId="0" applyNumberFormat="1" applyAlignment="1">
      <alignment wrapText="1"/>
    </xf>
    <xf numFmtId="165" fontId="0" fillId="5" borderId="0" xfId="0" applyNumberFormat="1" applyFill="1" applyAlignment="1">
      <alignment wrapText="1"/>
    </xf>
    <xf numFmtId="0" fontId="0" fillId="5" borderId="0" xfId="0" applyFill="1" applyAlignment="1">
      <alignment wrapText="1"/>
    </xf>
    <xf numFmtId="0" fontId="0" fillId="6" borderId="0" xfId="0" applyFill="1" applyAlignment="1">
      <alignment wrapText="1"/>
    </xf>
    <xf numFmtId="165" fontId="0" fillId="6" borderId="0" xfId="0" applyNumberFormat="1" applyFill="1" applyAlignment="1">
      <alignment wrapText="1"/>
    </xf>
    <xf numFmtId="9" fontId="0" fillId="0" borderId="0" xfId="0" applyNumberFormat="1" applyAlignment="1">
      <alignment wrapText="1"/>
    </xf>
    <xf numFmtId="2" fontId="0" fillId="0" borderId="0" xfId="0" applyNumberFormat="1" applyAlignment="1">
      <alignment wrapText="1"/>
    </xf>
    <xf numFmtId="166" fontId="0" fillId="0" borderId="0" xfId="0" applyNumberFormat="1" applyAlignment="1">
      <alignment wrapText="1"/>
    </xf>
    <xf numFmtId="0" fontId="1" fillId="2" borderId="0" xfId="0" applyFont="1" applyFill="1" applyAlignment="1">
      <alignment horizontal="center" vertical="center" wrapText="1"/>
    </xf>
    <xf numFmtId="0" fontId="2" fillId="3" borderId="0" xfId="0" applyFont="1" applyFill="1" applyAlignment="1">
      <alignment wrapText="1"/>
    </xf>
  </cellXfs>
  <cellStyles count="1">
    <cellStyle name="Normal" xfId="0" builtinId="0"/>
  </cellStyles>
  <dxfs count="2">
    <dxf>
      <font>
        <color rgb="FF991B1B"/>
      </font>
      <fill>
        <patternFill patternType="solid">
          <bgColor rgb="FFFEE2E2"/>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6"/>
  <sheetViews>
    <sheetView topLeftCell="I2" workbookViewId="0">
      <selection activeCell="P5" sqref="P5"/>
    </sheetView>
  </sheetViews>
  <sheetFormatPr defaultRowHeight="13.8"/>
  <cols>
    <col min="1" max="1" width="16" customWidth="1"/>
    <col min="2" max="2" width="13" customWidth="1"/>
    <col min="3" max="3" width="20" customWidth="1"/>
    <col min="4" max="4" width="16" customWidth="1"/>
    <col min="5" max="5" width="20" customWidth="1"/>
    <col min="6" max="6" width="14" customWidth="1"/>
    <col min="7" max="7" width="12" customWidth="1"/>
    <col min="8" max="8" width="13" customWidth="1"/>
    <col min="9" max="9" width="14" customWidth="1"/>
    <col min="10" max="10" width="16" customWidth="1"/>
    <col min="11" max="11" width="18" customWidth="1"/>
    <col min="12" max="12" width="14" customWidth="1"/>
    <col min="13" max="13" width="16" customWidth="1"/>
    <col min="14" max="14" width="15" customWidth="1"/>
    <col min="15" max="15" width="18" customWidth="1"/>
    <col min="16" max="16" width="24" customWidth="1"/>
    <col min="17" max="17" width="18" customWidth="1"/>
    <col min="18" max="18" width="20" customWidth="1"/>
  </cols>
  <sheetData>
    <row r="1" spans="1:18" ht="107.55" customHeight="1">
      <c r="A1" s="12" t="s">
        <v>0</v>
      </c>
      <c r="B1" s="12"/>
      <c r="C1" s="12"/>
      <c r="D1" s="12"/>
      <c r="E1" s="12"/>
      <c r="F1" s="12"/>
      <c r="G1" s="12"/>
      <c r="H1" s="12"/>
      <c r="I1" s="12"/>
      <c r="J1" s="12"/>
      <c r="K1" s="12"/>
      <c r="L1" s="12"/>
      <c r="M1" s="12"/>
      <c r="N1" s="12"/>
      <c r="O1" s="12"/>
      <c r="P1" s="12"/>
      <c r="Q1" s="12"/>
      <c r="R1" s="12"/>
    </row>
    <row r="2" spans="1:18" ht="200.7" customHeight="1">
      <c r="A2" s="13" t="s">
        <v>1</v>
      </c>
      <c r="B2" s="13"/>
      <c r="C2" s="13"/>
      <c r="D2" s="13"/>
      <c r="E2" s="13"/>
      <c r="F2" s="13"/>
      <c r="G2" s="13"/>
      <c r="H2" s="13"/>
      <c r="I2" s="13"/>
      <c r="J2" s="13"/>
      <c r="K2" s="13"/>
      <c r="L2" s="13"/>
      <c r="M2" s="13"/>
      <c r="N2" s="13"/>
      <c r="O2" s="13"/>
      <c r="P2" s="13"/>
      <c r="Q2" s="13"/>
      <c r="R2" s="13"/>
    </row>
    <row r="3" spans="1:18" ht="12" customHeight="1">
      <c r="A3" s="2"/>
      <c r="B3" s="2"/>
      <c r="C3" s="2"/>
      <c r="D3" s="2"/>
      <c r="E3" s="2"/>
      <c r="F3" s="2"/>
      <c r="G3" s="2"/>
      <c r="H3" s="2"/>
      <c r="I3" s="2"/>
      <c r="J3" s="2"/>
      <c r="K3" s="2"/>
      <c r="L3" s="2"/>
      <c r="M3" s="2"/>
      <c r="N3" s="2"/>
      <c r="O3" s="2"/>
      <c r="P3" s="2"/>
      <c r="Q3" s="2"/>
      <c r="R3" s="2"/>
    </row>
    <row r="4" spans="1:18" ht="12" customHeight="1">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row>
    <row r="5" spans="1:18" ht="12" customHeight="1">
      <c r="A5" s="2" t="s">
        <v>20</v>
      </c>
      <c r="B5" s="3">
        <v>46266</v>
      </c>
      <c r="C5" s="2" t="s">
        <v>21</v>
      </c>
      <c r="D5" s="2" t="s">
        <v>22</v>
      </c>
      <c r="E5" s="2" t="s">
        <v>23</v>
      </c>
      <c r="F5" s="2">
        <v>4</v>
      </c>
      <c r="G5" s="2" t="s">
        <v>24</v>
      </c>
      <c r="H5" s="4">
        <v>8.75</v>
      </c>
      <c r="I5" s="2" t="s">
        <v>25</v>
      </c>
      <c r="J5" s="2" t="s">
        <v>26</v>
      </c>
      <c r="K5" s="2" t="s">
        <v>27</v>
      </c>
      <c r="L5" s="2">
        <v>4</v>
      </c>
      <c r="M5" s="4">
        <v>35</v>
      </c>
      <c r="N5" s="4" t="s">
        <v>28</v>
      </c>
      <c r="O5" s="5">
        <f>F5*H5</f>
        <v>35</v>
      </c>
      <c r="P5" s="6" t="str">
        <f>IF(A5="","Missing request ID",IF(COUNTIF($A$5:$A$54,A5)&gt;1,"Duplicate request ID",IF(F5&lt;=0,"Invalid quantity",IF(I5="","Missing supplier",IF(J5&lt;&gt;"Approved","Not approved",IF(K5="","Missing purchase order",IF(L5&lt;&gt;F5,"Quantity mismatch",IF(ABS(M5-O5)&gt;0.01,"Invoice mismatch",IF(AND(N5="Paid",M5&lt;=0),"Paid without valid invoice","OK")))))))))</f>
        <v>OK</v>
      </c>
      <c r="Q5" s="7"/>
      <c r="R5" s="2" t="s">
        <v>29</v>
      </c>
    </row>
    <row r="6" spans="1:18" ht="12" customHeight="1">
      <c r="A6" s="2" t="s">
        <v>30</v>
      </c>
      <c r="B6" s="3">
        <v>46266</v>
      </c>
      <c r="C6" s="2" t="s">
        <v>31</v>
      </c>
      <c r="D6" s="2" t="s">
        <v>32</v>
      </c>
      <c r="E6" s="2" t="s">
        <v>33</v>
      </c>
      <c r="F6" s="2">
        <v>6</v>
      </c>
      <c r="G6" s="2" t="s">
        <v>34</v>
      </c>
      <c r="H6" s="4">
        <v>4.25</v>
      </c>
      <c r="I6" s="2" t="s">
        <v>35</v>
      </c>
      <c r="J6" s="2" t="s">
        <v>26</v>
      </c>
      <c r="K6" s="2" t="s">
        <v>36</v>
      </c>
      <c r="L6" s="2">
        <v>6</v>
      </c>
      <c r="M6" s="4">
        <v>25.5</v>
      </c>
      <c r="N6" s="4" t="s">
        <v>37</v>
      </c>
      <c r="O6" s="8"/>
      <c r="P6" s="7"/>
      <c r="Q6" s="7"/>
      <c r="R6" s="2" t="s">
        <v>38</v>
      </c>
    </row>
    <row r="7" spans="1:18" ht="12" customHeight="1">
      <c r="A7" s="2" t="s">
        <v>39</v>
      </c>
      <c r="B7" s="3">
        <v>46266</v>
      </c>
      <c r="C7" s="2" t="s">
        <v>40</v>
      </c>
      <c r="D7" s="2" t="s">
        <v>41</v>
      </c>
      <c r="E7" s="2" t="s">
        <v>42</v>
      </c>
      <c r="F7" s="2">
        <v>8</v>
      </c>
      <c r="G7" s="2" t="s">
        <v>43</v>
      </c>
      <c r="H7" s="4">
        <v>29.5</v>
      </c>
      <c r="I7" s="2" t="s">
        <v>35</v>
      </c>
      <c r="J7" s="2" t="s">
        <v>26</v>
      </c>
      <c r="K7" s="2" t="s">
        <v>44</v>
      </c>
      <c r="L7" s="2">
        <v>8</v>
      </c>
      <c r="M7" s="4">
        <v>236</v>
      </c>
      <c r="N7" s="4" t="s">
        <v>28</v>
      </c>
      <c r="O7" s="8"/>
      <c r="P7" s="7"/>
      <c r="Q7" s="7"/>
      <c r="R7" s="2" t="s">
        <v>29</v>
      </c>
    </row>
    <row r="8" spans="1:18" ht="12" customHeight="1">
      <c r="A8" s="2" t="s">
        <v>45</v>
      </c>
      <c r="B8" s="3">
        <v>46267</v>
      </c>
      <c r="C8" s="2" t="s">
        <v>21</v>
      </c>
      <c r="D8" s="2" t="s">
        <v>46</v>
      </c>
      <c r="E8" s="2" t="s">
        <v>47</v>
      </c>
      <c r="F8" s="2">
        <v>10</v>
      </c>
      <c r="G8" s="2" t="s">
        <v>48</v>
      </c>
      <c r="H8" s="4">
        <v>7.8</v>
      </c>
      <c r="I8" s="2" t="s">
        <v>49</v>
      </c>
      <c r="J8" s="2" t="s">
        <v>26</v>
      </c>
      <c r="K8" s="2" t="s">
        <v>50</v>
      </c>
      <c r="L8" s="2">
        <v>10</v>
      </c>
      <c r="M8" s="4">
        <v>78</v>
      </c>
      <c r="N8" s="4" t="s">
        <v>51</v>
      </c>
      <c r="O8" s="8"/>
      <c r="P8" s="7"/>
      <c r="Q8" s="7"/>
      <c r="R8" s="2" t="s">
        <v>52</v>
      </c>
    </row>
    <row r="9" spans="1:18" ht="12" customHeight="1">
      <c r="A9" s="2" t="s">
        <v>53</v>
      </c>
      <c r="B9" s="3">
        <v>46267</v>
      </c>
      <c r="C9" s="2" t="s">
        <v>31</v>
      </c>
      <c r="D9" s="2" t="s">
        <v>54</v>
      </c>
      <c r="E9" s="2" t="s">
        <v>55</v>
      </c>
      <c r="F9" s="2">
        <v>12</v>
      </c>
      <c r="G9" s="2" t="s">
        <v>43</v>
      </c>
      <c r="H9" s="4">
        <v>42</v>
      </c>
      <c r="I9" s="2" t="s">
        <v>56</v>
      </c>
      <c r="J9" s="2" t="s">
        <v>26</v>
      </c>
      <c r="K9" s="2" t="s">
        <v>57</v>
      </c>
      <c r="L9" s="2">
        <v>12</v>
      </c>
      <c r="M9" s="4">
        <v>504</v>
      </c>
      <c r="N9" s="4" t="s">
        <v>28</v>
      </c>
      <c r="O9" s="8"/>
      <c r="P9" s="7"/>
      <c r="Q9" s="7"/>
      <c r="R9" s="2" t="s">
        <v>29</v>
      </c>
    </row>
    <row r="10" spans="1:18" ht="12" customHeight="1">
      <c r="A10" s="2" t="s">
        <v>53</v>
      </c>
      <c r="B10" s="3">
        <v>46267</v>
      </c>
      <c r="C10" s="2" t="s">
        <v>40</v>
      </c>
      <c r="D10" s="2" t="s">
        <v>58</v>
      </c>
      <c r="E10" s="2" t="s">
        <v>59</v>
      </c>
      <c r="F10" s="2">
        <v>15</v>
      </c>
      <c r="G10" s="2" t="s">
        <v>43</v>
      </c>
      <c r="H10" s="4">
        <v>31.5</v>
      </c>
      <c r="I10" s="2" t="s">
        <v>56</v>
      </c>
      <c r="J10" s="2" t="s">
        <v>26</v>
      </c>
      <c r="K10" s="2" t="s">
        <v>60</v>
      </c>
      <c r="L10" s="2">
        <v>15</v>
      </c>
      <c r="M10" s="4">
        <v>472.5</v>
      </c>
      <c r="N10" s="4" t="s">
        <v>37</v>
      </c>
      <c r="O10" s="8"/>
      <c r="P10" s="7"/>
      <c r="Q10" s="7"/>
      <c r="R10" s="2" t="s">
        <v>38</v>
      </c>
    </row>
    <row r="11" spans="1:18" ht="12" customHeight="1">
      <c r="A11" s="2" t="s">
        <v>61</v>
      </c>
      <c r="B11" s="3">
        <v>46268</v>
      </c>
      <c r="C11" s="2" t="s">
        <v>21</v>
      </c>
      <c r="D11" s="2" t="s">
        <v>62</v>
      </c>
      <c r="E11" s="2" t="s">
        <v>63</v>
      </c>
      <c r="F11" s="2">
        <v>20</v>
      </c>
      <c r="G11" s="2" t="s">
        <v>43</v>
      </c>
      <c r="H11" s="4">
        <v>24.75</v>
      </c>
      <c r="I11" s="2" t="s">
        <v>64</v>
      </c>
      <c r="J11" s="2" t="s">
        <v>26</v>
      </c>
      <c r="K11" s="2" t="s">
        <v>65</v>
      </c>
      <c r="L11" s="2">
        <v>20</v>
      </c>
      <c r="M11" s="4">
        <v>495</v>
      </c>
      <c r="N11" s="4" t="s">
        <v>28</v>
      </c>
      <c r="O11" s="8"/>
      <c r="P11" s="7"/>
      <c r="Q11" s="7"/>
      <c r="R11" s="2" t="s">
        <v>29</v>
      </c>
    </row>
    <row r="12" spans="1:18" ht="12" customHeight="1">
      <c r="A12" s="2" t="s">
        <v>66</v>
      </c>
      <c r="B12" s="3">
        <v>46268</v>
      </c>
      <c r="C12" s="2" t="s">
        <v>31</v>
      </c>
      <c r="D12" s="2" t="s">
        <v>67</v>
      </c>
      <c r="E12" s="2" t="s">
        <v>68</v>
      </c>
      <c r="F12" s="2">
        <v>4</v>
      </c>
      <c r="G12" s="2" t="s">
        <v>43</v>
      </c>
      <c r="H12" s="4">
        <v>18.399999999999999</v>
      </c>
      <c r="I12" s="2" t="s">
        <v>64</v>
      </c>
      <c r="J12" s="2" t="s">
        <v>26</v>
      </c>
      <c r="K12" s="2" t="s">
        <v>69</v>
      </c>
      <c r="L12" s="2">
        <v>4</v>
      </c>
      <c r="M12" s="4">
        <v>73.599999999999994</v>
      </c>
      <c r="N12" s="4" t="s">
        <v>51</v>
      </c>
      <c r="O12" s="8"/>
      <c r="P12" s="7"/>
      <c r="Q12" s="7"/>
      <c r="R12" s="2" t="s">
        <v>52</v>
      </c>
    </row>
    <row r="13" spans="1:18" ht="12" customHeight="1">
      <c r="A13" s="2" t="s">
        <v>70</v>
      </c>
      <c r="B13" s="3">
        <v>46268</v>
      </c>
      <c r="C13" s="2" t="s">
        <v>40</v>
      </c>
      <c r="D13" s="2" t="s">
        <v>71</v>
      </c>
      <c r="E13" s="2" t="s">
        <v>72</v>
      </c>
      <c r="F13" s="2">
        <v>6</v>
      </c>
      <c r="G13" s="2" t="s">
        <v>73</v>
      </c>
      <c r="H13" s="4">
        <v>15.25</v>
      </c>
      <c r="I13" s="2" t="s">
        <v>74</v>
      </c>
      <c r="J13" s="2" t="s">
        <v>26</v>
      </c>
      <c r="K13" s="2" t="s">
        <v>75</v>
      </c>
      <c r="L13" s="2">
        <v>6</v>
      </c>
      <c r="M13" s="4">
        <v>91.5</v>
      </c>
      <c r="N13" s="4" t="s">
        <v>28</v>
      </c>
      <c r="O13" s="8"/>
      <c r="P13" s="7"/>
      <c r="Q13" s="7"/>
      <c r="R13" s="2" t="s">
        <v>29</v>
      </c>
    </row>
    <row r="14" spans="1:18" ht="12" customHeight="1">
      <c r="A14" s="2" t="s">
        <v>76</v>
      </c>
      <c r="B14" s="3">
        <v>46269</v>
      </c>
      <c r="C14" s="2" t="s">
        <v>21</v>
      </c>
      <c r="D14" s="2" t="s">
        <v>77</v>
      </c>
      <c r="E14" s="2" t="s">
        <v>78</v>
      </c>
      <c r="F14" s="2">
        <v>0</v>
      </c>
      <c r="G14" s="2" t="s">
        <v>48</v>
      </c>
      <c r="H14" s="4">
        <v>8.9499999999999993</v>
      </c>
      <c r="I14" s="2" t="s">
        <v>49</v>
      </c>
      <c r="J14" s="2" t="s">
        <v>26</v>
      </c>
      <c r="K14" s="2" t="s">
        <v>79</v>
      </c>
      <c r="L14" s="2">
        <v>8</v>
      </c>
      <c r="M14" s="4">
        <v>71.599999999999994</v>
      </c>
      <c r="N14" s="4" t="s">
        <v>37</v>
      </c>
      <c r="O14" s="8"/>
      <c r="P14" s="7"/>
      <c r="Q14" s="7"/>
      <c r="R14" s="2" t="s">
        <v>38</v>
      </c>
    </row>
    <row r="15" spans="1:18" ht="12" customHeight="1">
      <c r="A15" s="2" t="s">
        <v>80</v>
      </c>
      <c r="B15" s="3">
        <v>46269</v>
      </c>
      <c r="C15" s="2" t="s">
        <v>31</v>
      </c>
      <c r="D15" s="2" t="s">
        <v>22</v>
      </c>
      <c r="E15" s="2" t="s">
        <v>23</v>
      </c>
      <c r="F15" s="2">
        <v>10</v>
      </c>
      <c r="G15" s="2" t="s">
        <v>24</v>
      </c>
      <c r="H15" s="4">
        <v>8.75</v>
      </c>
      <c r="I15" s="2" t="s">
        <v>25</v>
      </c>
      <c r="J15" s="2" t="s">
        <v>26</v>
      </c>
      <c r="K15" s="2" t="s">
        <v>81</v>
      </c>
      <c r="L15" s="2">
        <v>10</v>
      </c>
      <c r="M15" s="4">
        <v>87.5</v>
      </c>
      <c r="N15" s="4" t="s">
        <v>28</v>
      </c>
      <c r="O15" s="8"/>
      <c r="P15" s="7"/>
      <c r="Q15" s="7"/>
      <c r="R15" s="2" t="s">
        <v>29</v>
      </c>
    </row>
    <row r="16" spans="1:18" ht="12" customHeight="1">
      <c r="A16" s="2" t="s">
        <v>82</v>
      </c>
      <c r="B16" s="3">
        <v>46269</v>
      </c>
      <c r="C16" s="2" t="s">
        <v>40</v>
      </c>
      <c r="D16" s="2" t="s">
        <v>32</v>
      </c>
      <c r="E16" s="2" t="s">
        <v>33</v>
      </c>
      <c r="F16" s="2">
        <v>12</v>
      </c>
      <c r="G16" s="2" t="s">
        <v>34</v>
      </c>
      <c r="H16" s="4">
        <v>4.25</v>
      </c>
      <c r="I16" s="2" t="s">
        <v>35</v>
      </c>
      <c r="J16" s="2" t="s">
        <v>26</v>
      </c>
      <c r="K16" s="2" t="s">
        <v>83</v>
      </c>
      <c r="L16" s="2">
        <v>12</v>
      </c>
      <c r="M16" s="4">
        <v>51</v>
      </c>
      <c r="N16" s="4" t="s">
        <v>51</v>
      </c>
      <c r="O16" s="8"/>
      <c r="P16" s="7"/>
      <c r="Q16" s="7"/>
      <c r="R16" s="2" t="s">
        <v>52</v>
      </c>
    </row>
    <row r="17" spans="1:18" ht="12" customHeight="1">
      <c r="A17" s="2" t="s">
        <v>84</v>
      </c>
      <c r="B17" s="3">
        <v>46270</v>
      </c>
      <c r="C17" s="2" t="s">
        <v>21</v>
      </c>
      <c r="D17" s="2" t="s">
        <v>41</v>
      </c>
      <c r="E17" s="2" t="s">
        <v>42</v>
      </c>
      <c r="F17" s="2">
        <v>15</v>
      </c>
      <c r="G17" s="2" t="s">
        <v>43</v>
      </c>
      <c r="H17" s="4">
        <v>29.5</v>
      </c>
      <c r="I17" s="2" t="s">
        <v>35</v>
      </c>
      <c r="J17" s="2" t="s">
        <v>26</v>
      </c>
      <c r="K17" s="2" t="s">
        <v>85</v>
      </c>
      <c r="L17" s="2">
        <v>15</v>
      </c>
      <c r="M17" s="4">
        <v>442.5</v>
      </c>
      <c r="N17" s="4" t="s">
        <v>28</v>
      </c>
      <c r="O17" s="8"/>
      <c r="P17" s="7"/>
      <c r="Q17" s="7"/>
      <c r="R17" s="2" t="s">
        <v>29</v>
      </c>
    </row>
    <row r="18" spans="1:18" ht="12" customHeight="1">
      <c r="A18" s="2" t="s">
        <v>86</v>
      </c>
      <c r="B18" s="3">
        <v>46270</v>
      </c>
      <c r="C18" s="2" t="s">
        <v>31</v>
      </c>
      <c r="D18" s="2" t="s">
        <v>46</v>
      </c>
      <c r="E18" s="2" t="s">
        <v>47</v>
      </c>
      <c r="F18" s="2">
        <v>20</v>
      </c>
      <c r="G18" s="2" t="s">
        <v>48</v>
      </c>
      <c r="H18" s="4">
        <v>7.8</v>
      </c>
      <c r="I18" s="2" t="s">
        <v>49</v>
      </c>
      <c r="J18" s="2" t="s">
        <v>26</v>
      </c>
      <c r="K18" s="2" t="s">
        <v>87</v>
      </c>
      <c r="L18" s="2">
        <v>20</v>
      </c>
      <c r="M18" s="4">
        <v>156</v>
      </c>
      <c r="N18" s="4" t="s">
        <v>37</v>
      </c>
      <c r="O18" s="8"/>
      <c r="P18" s="7"/>
      <c r="Q18" s="7"/>
      <c r="R18" s="2" t="s">
        <v>38</v>
      </c>
    </row>
    <row r="19" spans="1:18" ht="12" customHeight="1">
      <c r="A19" s="2" t="s">
        <v>88</v>
      </c>
      <c r="B19" s="3">
        <v>46270</v>
      </c>
      <c r="C19" s="2" t="s">
        <v>40</v>
      </c>
      <c r="D19" s="2" t="s">
        <v>54</v>
      </c>
      <c r="E19" s="2" t="s">
        <v>55</v>
      </c>
      <c r="F19" s="2">
        <v>-4</v>
      </c>
      <c r="G19" s="2" t="s">
        <v>43</v>
      </c>
      <c r="H19" s="4">
        <v>42</v>
      </c>
      <c r="I19" s="2" t="s">
        <v>56</v>
      </c>
      <c r="J19" s="2" t="s">
        <v>26</v>
      </c>
      <c r="K19" s="2" t="s">
        <v>89</v>
      </c>
      <c r="L19" s="2">
        <v>4</v>
      </c>
      <c r="M19" s="4">
        <v>168</v>
      </c>
      <c r="N19" s="4" t="s">
        <v>28</v>
      </c>
      <c r="O19" s="8"/>
      <c r="P19" s="7"/>
      <c r="Q19" s="7"/>
      <c r="R19" s="2" t="s">
        <v>29</v>
      </c>
    </row>
    <row r="20" spans="1:18" ht="12" customHeight="1">
      <c r="A20" s="2" t="s">
        <v>90</v>
      </c>
      <c r="B20" s="3">
        <v>46271</v>
      </c>
      <c r="C20" s="2" t="s">
        <v>21</v>
      </c>
      <c r="D20" s="2" t="s">
        <v>58</v>
      </c>
      <c r="E20" s="2" t="s">
        <v>59</v>
      </c>
      <c r="F20" s="2">
        <v>6</v>
      </c>
      <c r="G20" s="2" t="s">
        <v>43</v>
      </c>
      <c r="H20" s="4">
        <v>31.5</v>
      </c>
      <c r="I20" s="2" t="s">
        <v>56</v>
      </c>
      <c r="J20" s="2" t="s">
        <v>26</v>
      </c>
      <c r="K20" s="2" t="s">
        <v>91</v>
      </c>
      <c r="L20" s="2">
        <v>6</v>
      </c>
      <c r="M20" s="4">
        <v>189</v>
      </c>
      <c r="N20" s="4" t="s">
        <v>51</v>
      </c>
      <c r="O20" s="8"/>
      <c r="P20" s="7"/>
      <c r="Q20" s="7"/>
      <c r="R20" s="2" t="s">
        <v>52</v>
      </c>
    </row>
    <row r="21" spans="1:18" ht="12" customHeight="1">
      <c r="A21" s="2" t="s">
        <v>92</v>
      </c>
      <c r="B21" s="3">
        <v>46271</v>
      </c>
      <c r="C21" s="2" t="s">
        <v>31</v>
      </c>
      <c r="D21" s="2" t="s">
        <v>62</v>
      </c>
      <c r="E21" s="2" t="s">
        <v>63</v>
      </c>
      <c r="F21" s="2">
        <v>8</v>
      </c>
      <c r="G21" s="2" t="s">
        <v>43</v>
      </c>
      <c r="H21" s="4">
        <v>24.75</v>
      </c>
      <c r="I21" s="2" t="s">
        <v>64</v>
      </c>
      <c r="J21" s="2" t="s">
        <v>26</v>
      </c>
      <c r="K21" s="2" t="s">
        <v>93</v>
      </c>
      <c r="L21" s="2">
        <v>8</v>
      </c>
      <c r="M21" s="4">
        <v>198</v>
      </c>
      <c r="N21" s="4" t="s">
        <v>28</v>
      </c>
      <c r="O21" s="8"/>
      <c r="P21" s="7"/>
      <c r="Q21" s="7"/>
      <c r="R21" s="2" t="s">
        <v>29</v>
      </c>
    </row>
    <row r="22" spans="1:18" ht="12" customHeight="1">
      <c r="A22" s="2" t="s">
        <v>94</v>
      </c>
      <c r="B22" s="3">
        <v>46271</v>
      </c>
      <c r="C22" s="2" t="s">
        <v>40</v>
      </c>
      <c r="D22" s="2" t="s">
        <v>67</v>
      </c>
      <c r="E22" s="2" t="s">
        <v>68</v>
      </c>
      <c r="F22" s="2">
        <v>10</v>
      </c>
      <c r="G22" s="2" t="s">
        <v>43</v>
      </c>
      <c r="H22" s="4">
        <v>18.399999999999999</v>
      </c>
      <c r="I22" s="2" t="s">
        <v>64</v>
      </c>
      <c r="J22" s="2" t="s">
        <v>26</v>
      </c>
      <c r="K22" s="2" t="s">
        <v>95</v>
      </c>
      <c r="L22" s="2">
        <v>10</v>
      </c>
      <c r="M22" s="4">
        <v>184</v>
      </c>
      <c r="N22" s="4" t="s">
        <v>37</v>
      </c>
      <c r="O22" s="8"/>
      <c r="P22" s="7"/>
      <c r="Q22" s="7"/>
      <c r="R22" s="2" t="s">
        <v>38</v>
      </c>
    </row>
    <row r="23" spans="1:18" ht="12" customHeight="1">
      <c r="A23" s="2" t="s">
        <v>96</v>
      </c>
      <c r="B23" s="3">
        <v>46272</v>
      </c>
      <c r="C23" s="2" t="s">
        <v>21</v>
      </c>
      <c r="D23" s="2" t="s">
        <v>71</v>
      </c>
      <c r="E23" s="2" t="s">
        <v>72</v>
      </c>
      <c r="F23" s="2">
        <v>12</v>
      </c>
      <c r="G23" s="2" t="s">
        <v>73</v>
      </c>
      <c r="H23" s="4">
        <v>15.25</v>
      </c>
      <c r="I23" s="2"/>
      <c r="J23" s="2" t="s">
        <v>26</v>
      </c>
      <c r="K23" s="2" t="s">
        <v>97</v>
      </c>
      <c r="L23" s="2">
        <v>12</v>
      </c>
      <c r="M23" s="4">
        <v>183</v>
      </c>
      <c r="N23" s="4" t="s">
        <v>28</v>
      </c>
      <c r="O23" s="8"/>
      <c r="P23" s="7"/>
      <c r="Q23" s="7"/>
      <c r="R23" s="2" t="s">
        <v>29</v>
      </c>
    </row>
    <row r="24" spans="1:18" ht="12" customHeight="1">
      <c r="A24" s="2" t="s">
        <v>98</v>
      </c>
      <c r="B24" s="3">
        <v>46272</v>
      </c>
      <c r="C24" s="2" t="s">
        <v>31</v>
      </c>
      <c r="D24" s="2" t="s">
        <v>77</v>
      </c>
      <c r="E24" s="2" t="s">
        <v>78</v>
      </c>
      <c r="F24" s="2">
        <v>15</v>
      </c>
      <c r="G24" s="2" t="s">
        <v>48</v>
      </c>
      <c r="H24" s="4">
        <v>8.9499999999999993</v>
      </c>
      <c r="I24" s="2" t="s">
        <v>49</v>
      </c>
      <c r="J24" s="2" t="s">
        <v>26</v>
      </c>
      <c r="K24" s="2" t="s">
        <v>99</v>
      </c>
      <c r="L24" s="2">
        <v>15</v>
      </c>
      <c r="M24" s="4">
        <v>134.25</v>
      </c>
      <c r="N24" s="4" t="s">
        <v>51</v>
      </c>
      <c r="O24" s="8"/>
      <c r="P24" s="7"/>
      <c r="Q24" s="7"/>
      <c r="R24" s="2" t="s">
        <v>52</v>
      </c>
    </row>
    <row r="25" spans="1:18" ht="12" customHeight="1">
      <c r="A25" s="2" t="s">
        <v>100</v>
      </c>
      <c r="B25" s="3">
        <v>46272</v>
      </c>
      <c r="C25" s="2" t="s">
        <v>40</v>
      </c>
      <c r="D25" s="2" t="s">
        <v>22</v>
      </c>
      <c r="E25" s="2" t="s">
        <v>23</v>
      </c>
      <c r="F25" s="2">
        <v>20</v>
      </c>
      <c r="G25" s="2" t="s">
        <v>24</v>
      </c>
      <c r="H25" s="4">
        <v>8.75</v>
      </c>
      <c r="I25" s="2" t="s">
        <v>25</v>
      </c>
      <c r="J25" s="2" t="s">
        <v>26</v>
      </c>
      <c r="K25" s="2" t="s">
        <v>101</v>
      </c>
      <c r="L25" s="2">
        <v>20</v>
      </c>
      <c r="M25" s="4">
        <v>175</v>
      </c>
      <c r="N25" s="4" t="s">
        <v>28</v>
      </c>
      <c r="O25" s="8"/>
      <c r="P25" s="7"/>
      <c r="Q25" s="7"/>
      <c r="R25" s="2" t="s">
        <v>29</v>
      </c>
    </row>
    <row r="26" spans="1:18" ht="12" customHeight="1">
      <c r="A26" s="2" t="s">
        <v>102</v>
      </c>
      <c r="B26" s="3">
        <v>46273</v>
      </c>
      <c r="C26" s="2" t="s">
        <v>21</v>
      </c>
      <c r="D26" s="2" t="s">
        <v>32</v>
      </c>
      <c r="E26" s="2" t="s">
        <v>33</v>
      </c>
      <c r="F26" s="2">
        <v>4</v>
      </c>
      <c r="G26" s="2" t="s">
        <v>34</v>
      </c>
      <c r="H26" s="4">
        <v>4.25</v>
      </c>
      <c r="I26" s="2" t="s">
        <v>35</v>
      </c>
      <c r="J26" s="2" t="s">
        <v>26</v>
      </c>
      <c r="K26" s="2" t="s">
        <v>103</v>
      </c>
      <c r="L26" s="2">
        <v>4</v>
      </c>
      <c r="M26" s="4">
        <v>17</v>
      </c>
      <c r="N26" s="4" t="s">
        <v>37</v>
      </c>
      <c r="O26" s="8"/>
      <c r="P26" s="7"/>
      <c r="Q26" s="7"/>
      <c r="R26" s="2" t="s">
        <v>38</v>
      </c>
    </row>
    <row r="27" spans="1:18" ht="12" customHeight="1">
      <c r="A27" s="2" t="s">
        <v>104</v>
      </c>
      <c r="B27" s="3">
        <v>46273</v>
      </c>
      <c r="C27" s="2" t="s">
        <v>31</v>
      </c>
      <c r="D27" s="2" t="s">
        <v>41</v>
      </c>
      <c r="E27" s="2" t="s">
        <v>42</v>
      </c>
      <c r="F27" s="2">
        <v>6</v>
      </c>
      <c r="G27" s="2" t="s">
        <v>43</v>
      </c>
      <c r="H27" s="4">
        <v>29.5</v>
      </c>
      <c r="I27" s="2" t="s">
        <v>35</v>
      </c>
      <c r="J27" s="2" t="s">
        <v>37</v>
      </c>
      <c r="K27" s="2" t="s">
        <v>105</v>
      </c>
      <c r="L27" s="2">
        <v>6</v>
      </c>
      <c r="M27" s="4">
        <v>177</v>
      </c>
      <c r="N27" s="4" t="s">
        <v>28</v>
      </c>
      <c r="O27" s="8"/>
      <c r="P27" s="7"/>
      <c r="Q27" s="7"/>
      <c r="R27" s="2" t="s">
        <v>106</v>
      </c>
    </row>
    <row r="28" spans="1:18" ht="12" customHeight="1">
      <c r="A28" s="2" t="s">
        <v>107</v>
      </c>
      <c r="B28" s="3">
        <v>46273</v>
      </c>
      <c r="C28" s="2" t="s">
        <v>40</v>
      </c>
      <c r="D28" s="2" t="s">
        <v>46</v>
      </c>
      <c r="E28" s="2" t="s">
        <v>47</v>
      </c>
      <c r="F28" s="2">
        <v>8</v>
      </c>
      <c r="G28" s="2" t="s">
        <v>48</v>
      </c>
      <c r="H28" s="4">
        <v>7.8</v>
      </c>
      <c r="I28" s="2" t="s">
        <v>49</v>
      </c>
      <c r="J28" s="2" t="s">
        <v>26</v>
      </c>
      <c r="K28" s="2" t="s">
        <v>108</v>
      </c>
      <c r="L28" s="2">
        <v>8</v>
      </c>
      <c r="M28" s="4">
        <v>62.4</v>
      </c>
      <c r="N28" s="4" t="s">
        <v>51</v>
      </c>
      <c r="O28" s="8"/>
      <c r="P28" s="7"/>
      <c r="Q28" s="7"/>
      <c r="R28" s="2" t="s">
        <v>52</v>
      </c>
    </row>
    <row r="29" spans="1:18" ht="12" customHeight="1">
      <c r="A29" s="2" t="s">
        <v>109</v>
      </c>
      <c r="B29" s="3">
        <v>46274</v>
      </c>
      <c r="C29" s="2" t="s">
        <v>21</v>
      </c>
      <c r="D29" s="2" t="s">
        <v>54</v>
      </c>
      <c r="E29" s="2" t="s">
        <v>55</v>
      </c>
      <c r="F29" s="2">
        <v>10</v>
      </c>
      <c r="G29" s="2" t="s">
        <v>43</v>
      </c>
      <c r="H29" s="4">
        <v>42</v>
      </c>
      <c r="I29" s="2" t="s">
        <v>56</v>
      </c>
      <c r="J29" s="2" t="s">
        <v>26</v>
      </c>
      <c r="K29" s="2" t="s">
        <v>110</v>
      </c>
      <c r="L29" s="2">
        <v>10</v>
      </c>
      <c r="M29" s="4">
        <v>420</v>
      </c>
      <c r="N29" s="4" t="s">
        <v>28</v>
      </c>
      <c r="O29" s="8"/>
      <c r="P29" s="7"/>
      <c r="Q29" s="7"/>
      <c r="R29" s="2" t="s">
        <v>29</v>
      </c>
    </row>
    <row r="30" spans="1:18" ht="12" customHeight="1">
      <c r="A30" s="2" t="s">
        <v>111</v>
      </c>
      <c r="B30" s="3">
        <v>46274</v>
      </c>
      <c r="C30" s="2" t="s">
        <v>31</v>
      </c>
      <c r="D30" s="2" t="s">
        <v>58</v>
      </c>
      <c r="E30" s="2" t="s">
        <v>59</v>
      </c>
      <c r="F30" s="2">
        <v>12</v>
      </c>
      <c r="G30" s="2" t="s">
        <v>43</v>
      </c>
      <c r="H30" s="4">
        <v>31.5</v>
      </c>
      <c r="I30" s="2" t="s">
        <v>56</v>
      </c>
      <c r="J30" s="2" t="s">
        <v>26</v>
      </c>
      <c r="K30" s="2" t="s">
        <v>112</v>
      </c>
      <c r="L30" s="2">
        <v>12</v>
      </c>
      <c r="M30" s="4">
        <v>378</v>
      </c>
      <c r="N30" s="4" t="s">
        <v>37</v>
      </c>
      <c r="O30" s="8"/>
      <c r="P30" s="7"/>
      <c r="Q30" s="7"/>
      <c r="R30" s="2" t="s">
        <v>38</v>
      </c>
    </row>
    <row r="31" spans="1:18" ht="12" customHeight="1">
      <c r="A31" s="2" t="s">
        <v>113</v>
      </c>
      <c r="B31" s="3">
        <v>46274</v>
      </c>
      <c r="C31" s="2" t="s">
        <v>40</v>
      </c>
      <c r="D31" s="2" t="s">
        <v>62</v>
      </c>
      <c r="E31" s="2" t="s">
        <v>63</v>
      </c>
      <c r="F31" s="2">
        <v>15</v>
      </c>
      <c r="G31" s="2" t="s">
        <v>43</v>
      </c>
      <c r="H31" s="4">
        <v>24.75</v>
      </c>
      <c r="I31" s="2" t="s">
        <v>64</v>
      </c>
      <c r="J31" s="2" t="s">
        <v>26</v>
      </c>
      <c r="K31" s="2" t="s">
        <v>114</v>
      </c>
      <c r="L31" s="2">
        <v>15</v>
      </c>
      <c r="M31" s="4">
        <v>371.25</v>
      </c>
      <c r="N31" s="4" t="s">
        <v>28</v>
      </c>
      <c r="O31" s="8"/>
      <c r="P31" s="7"/>
      <c r="Q31" s="7"/>
      <c r="R31" s="2" t="s">
        <v>29</v>
      </c>
    </row>
    <row r="32" spans="1:18" ht="12" customHeight="1">
      <c r="A32" s="2" t="s">
        <v>115</v>
      </c>
      <c r="B32" s="3">
        <v>46275</v>
      </c>
      <c r="C32" s="2" t="s">
        <v>21</v>
      </c>
      <c r="D32" s="2" t="s">
        <v>67</v>
      </c>
      <c r="E32" s="2" t="s">
        <v>68</v>
      </c>
      <c r="F32" s="2">
        <v>20</v>
      </c>
      <c r="G32" s="2" t="s">
        <v>43</v>
      </c>
      <c r="H32" s="4">
        <v>18.399999999999999</v>
      </c>
      <c r="I32" s="2" t="s">
        <v>64</v>
      </c>
      <c r="J32" s="2" t="s">
        <v>26</v>
      </c>
      <c r="K32" s="2"/>
      <c r="L32" s="2">
        <v>20</v>
      </c>
      <c r="M32" s="4">
        <v>368</v>
      </c>
      <c r="N32" s="4" t="s">
        <v>51</v>
      </c>
      <c r="O32" s="8"/>
      <c r="P32" s="7"/>
      <c r="Q32" s="7"/>
      <c r="R32" s="2" t="s">
        <v>116</v>
      </c>
    </row>
    <row r="33" spans="1:18" ht="12" customHeight="1">
      <c r="A33" s="2" t="s">
        <v>117</v>
      </c>
      <c r="B33" s="3">
        <v>46275</v>
      </c>
      <c r="C33" s="2" t="s">
        <v>31</v>
      </c>
      <c r="D33" s="2" t="s">
        <v>71</v>
      </c>
      <c r="E33" s="2" t="s">
        <v>72</v>
      </c>
      <c r="F33" s="2">
        <v>4</v>
      </c>
      <c r="G33" s="2" t="s">
        <v>73</v>
      </c>
      <c r="H33" s="4">
        <v>15.25</v>
      </c>
      <c r="I33" s="2" t="s">
        <v>74</v>
      </c>
      <c r="J33" s="2" t="s">
        <v>26</v>
      </c>
      <c r="K33" s="2" t="s">
        <v>118</v>
      </c>
      <c r="L33" s="2">
        <v>4</v>
      </c>
      <c r="M33" s="4">
        <v>61</v>
      </c>
      <c r="N33" s="4" t="s">
        <v>28</v>
      </c>
      <c r="O33" s="8"/>
      <c r="P33" s="7"/>
      <c r="Q33" s="7"/>
      <c r="R33" s="2" t="s">
        <v>29</v>
      </c>
    </row>
    <row r="34" spans="1:18" ht="12" customHeight="1">
      <c r="A34" s="2" t="s">
        <v>119</v>
      </c>
      <c r="B34" s="3">
        <v>46275</v>
      </c>
      <c r="C34" s="2" t="s">
        <v>40</v>
      </c>
      <c r="D34" s="2" t="s">
        <v>77</v>
      </c>
      <c r="E34" s="2" t="s">
        <v>78</v>
      </c>
      <c r="F34" s="2">
        <v>6</v>
      </c>
      <c r="G34" s="2" t="s">
        <v>48</v>
      </c>
      <c r="H34" s="4">
        <v>8.9499999999999993</v>
      </c>
      <c r="I34" s="2" t="s">
        <v>49</v>
      </c>
      <c r="J34" s="2" t="s">
        <v>26</v>
      </c>
      <c r="K34" s="2" t="s">
        <v>120</v>
      </c>
      <c r="L34" s="2">
        <v>6</v>
      </c>
      <c r="M34" s="4">
        <v>53.7</v>
      </c>
      <c r="N34" s="4" t="s">
        <v>37</v>
      </c>
      <c r="O34" s="8"/>
      <c r="P34" s="7"/>
      <c r="Q34" s="7"/>
      <c r="R34" s="2" t="s">
        <v>38</v>
      </c>
    </row>
    <row r="35" spans="1:18" ht="12" customHeight="1">
      <c r="A35" s="2" t="s">
        <v>121</v>
      </c>
      <c r="B35" s="3">
        <v>46276</v>
      </c>
      <c r="C35" s="2" t="s">
        <v>21</v>
      </c>
      <c r="D35" s="2" t="s">
        <v>22</v>
      </c>
      <c r="E35" s="2" t="s">
        <v>23</v>
      </c>
      <c r="F35" s="2">
        <v>8</v>
      </c>
      <c r="G35" s="2" t="s">
        <v>24</v>
      </c>
      <c r="H35" s="4">
        <v>8.75</v>
      </c>
      <c r="I35" s="2" t="s">
        <v>25</v>
      </c>
      <c r="J35" s="2" t="s">
        <v>26</v>
      </c>
      <c r="K35" s="2" t="s">
        <v>122</v>
      </c>
      <c r="L35" s="2">
        <v>8</v>
      </c>
      <c r="M35" s="4">
        <v>70</v>
      </c>
      <c r="N35" s="4" t="s">
        <v>28</v>
      </c>
      <c r="O35" s="8"/>
      <c r="P35" s="7"/>
      <c r="Q35" s="7"/>
      <c r="R35" s="2" t="s">
        <v>29</v>
      </c>
    </row>
    <row r="36" spans="1:18" ht="12" customHeight="1">
      <c r="A36" s="2" t="s">
        <v>123</v>
      </c>
      <c r="B36" s="3">
        <v>46276</v>
      </c>
      <c r="C36" s="2" t="s">
        <v>31</v>
      </c>
      <c r="D36" s="2" t="s">
        <v>32</v>
      </c>
      <c r="E36" s="2" t="s">
        <v>33</v>
      </c>
      <c r="F36" s="2">
        <v>10</v>
      </c>
      <c r="G36" s="2" t="s">
        <v>34</v>
      </c>
      <c r="H36" s="4">
        <v>4.25</v>
      </c>
      <c r="I36" s="2" t="s">
        <v>35</v>
      </c>
      <c r="J36" s="2" t="s">
        <v>26</v>
      </c>
      <c r="K36" s="2" t="s">
        <v>124</v>
      </c>
      <c r="L36" s="2">
        <v>8</v>
      </c>
      <c r="M36" s="4">
        <v>42.5</v>
      </c>
      <c r="N36" s="4" t="s">
        <v>51</v>
      </c>
      <c r="O36" s="8"/>
      <c r="P36" s="7"/>
      <c r="Q36" s="7"/>
      <c r="R36" s="2" t="s">
        <v>125</v>
      </c>
    </row>
    <row r="37" spans="1:18" ht="12" customHeight="1">
      <c r="A37" s="2" t="s">
        <v>126</v>
      </c>
      <c r="B37" s="3">
        <v>46276</v>
      </c>
      <c r="C37" s="2" t="s">
        <v>40</v>
      </c>
      <c r="D37" s="2" t="s">
        <v>41</v>
      </c>
      <c r="E37" s="2" t="s">
        <v>42</v>
      </c>
      <c r="F37" s="2">
        <v>12</v>
      </c>
      <c r="G37" s="2" t="s">
        <v>43</v>
      </c>
      <c r="H37" s="4">
        <v>29.5</v>
      </c>
      <c r="I37" s="2" t="s">
        <v>35</v>
      </c>
      <c r="J37" s="2" t="s">
        <v>26</v>
      </c>
      <c r="K37" s="2" t="s">
        <v>127</v>
      </c>
      <c r="L37" s="2">
        <v>12</v>
      </c>
      <c r="M37" s="4">
        <v>354</v>
      </c>
      <c r="N37" s="4" t="s">
        <v>28</v>
      </c>
      <c r="O37" s="8"/>
      <c r="P37" s="7"/>
      <c r="Q37" s="7"/>
      <c r="R37" s="2" t="s">
        <v>29</v>
      </c>
    </row>
    <row r="38" spans="1:18" ht="12" customHeight="1">
      <c r="A38" s="2" t="s">
        <v>128</v>
      </c>
      <c r="B38" s="3">
        <v>46277</v>
      </c>
      <c r="C38" s="2" t="s">
        <v>21</v>
      </c>
      <c r="D38" s="2" t="s">
        <v>46</v>
      </c>
      <c r="E38" s="2" t="s">
        <v>47</v>
      </c>
      <c r="F38" s="2">
        <v>15</v>
      </c>
      <c r="G38" s="2" t="s">
        <v>48</v>
      </c>
      <c r="H38" s="4">
        <v>7.8</v>
      </c>
      <c r="I38" s="2" t="s">
        <v>49</v>
      </c>
      <c r="J38" s="2" t="s">
        <v>26</v>
      </c>
      <c r="K38" s="2" t="s">
        <v>129</v>
      </c>
      <c r="L38" s="2">
        <v>15</v>
      </c>
      <c r="M38" s="4">
        <v>117</v>
      </c>
      <c r="N38" s="4" t="s">
        <v>37</v>
      </c>
      <c r="O38" s="8"/>
      <c r="P38" s="7"/>
      <c r="Q38" s="7"/>
      <c r="R38" s="2" t="s">
        <v>38</v>
      </c>
    </row>
    <row r="39" spans="1:18" ht="12" customHeight="1">
      <c r="A39" s="2" t="s">
        <v>130</v>
      </c>
      <c r="B39" s="3">
        <v>46277</v>
      </c>
      <c r="C39" s="2" t="s">
        <v>31</v>
      </c>
      <c r="D39" s="2" t="s">
        <v>54</v>
      </c>
      <c r="E39" s="2" t="s">
        <v>55</v>
      </c>
      <c r="F39" s="2">
        <v>20</v>
      </c>
      <c r="G39" s="2" t="s">
        <v>43</v>
      </c>
      <c r="H39" s="4">
        <v>42</v>
      </c>
      <c r="I39" s="2" t="s">
        <v>56</v>
      </c>
      <c r="J39" s="2" t="s">
        <v>26</v>
      </c>
      <c r="K39" s="2" t="s">
        <v>131</v>
      </c>
      <c r="L39" s="2">
        <v>20</v>
      </c>
      <c r="M39" s="4">
        <v>840</v>
      </c>
      <c r="N39" s="4" t="s">
        <v>28</v>
      </c>
      <c r="O39" s="8"/>
      <c r="P39" s="7"/>
      <c r="Q39" s="7"/>
      <c r="R39" s="2" t="s">
        <v>29</v>
      </c>
    </row>
    <row r="40" spans="1:18" ht="12" customHeight="1">
      <c r="A40" s="2" t="s">
        <v>132</v>
      </c>
      <c r="B40" s="3">
        <v>46277</v>
      </c>
      <c r="C40" s="2" t="s">
        <v>40</v>
      </c>
      <c r="D40" s="2" t="s">
        <v>58</v>
      </c>
      <c r="E40" s="2" t="s">
        <v>59</v>
      </c>
      <c r="F40" s="2">
        <v>4</v>
      </c>
      <c r="G40" s="2" t="s">
        <v>43</v>
      </c>
      <c r="H40" s="4">
        <v>31.5</v>
      </c>
      <c r="I40" s="2" t="s">
        <v>56</v>
      </c>
      <c r="J40" s="2" t="s">
        <v>26</v>
      </c>
      <c r="K40" s="2" t="s">
        <v>133</v>
      </c>
      <c r="L40" s="2">
        <v>4</v>
      </c>
      <c r="M40" s="4">
        <v>126</v>
      </c>
      <c r="N40" s="4" t="s">
        <v>51</v>
      </c>
      <c r="O40" s="8"/>
      <c r="P40" s="7"/>
      <c r="Q40" s="7"/>
      <c r="R40" s="2" t="s">
        <v>52</v>
      </c>
    </row>
    <row r="41" spans="1:18" ht="12" customHeight="1">
      <c r="A41" s="2" t="s">
        <v>134</v>
      </c>
      <c r="B41" s="3">
        <v>46278</v>
      </c>
      <c r="C41" s="2" t="s">
        <v>21</v>
      </c>
      <c r="D41" s="2" t="s">
        <v>62</v>
      </c>
      <c r="E41" s="2" t="s">
        <v>63</v>
      </c>
      <c r="F41" s="2">
        <v>6</v>
      </c>
      <c r="G41" s="2" t="s">
        <v>43</v>
      </c>
      <c r="H41" s="4">
        <v>24.75</v>
      </c>
      <c r="I41" s="2" t="s">
        <v>64</v>
      </c>
      <c r="J41" s="2" t="s">
        <v>26</v>
      </c>
      <c r="K41" s="2" t="s">
        <v>135</v>
      </c>
      <c r="L41" s="2">
        <v>6</v>
      </c>
      <c r="M41" s="4">
        <v>167</v>
      </c>
      <c r="N41" s="4" t="s">
        <v>28</v>
      </c>
      <c r="O41" s="8"/>
      <c r="P41" s="7"/>
      <c r="Q41" s="7"/>
      <c r="R41" s="2" t="s">
        <v>52</v>
      </c>
    </row>
    <row r="42" spans="1:18" ht="12" customHeight="1">
      <c r="A42" s="2" t="s">
        <v>136</v>
      </c>
      <c r="B42" s="3">
        <v>46278</v>
      </c>
      <c r="C42" s="2" t="s">
        <v>31</v>
      </c>
      <c r="D42" s="2" t="s">
        <v>67</v>
      </c>
      <c r="E42" s="2" t="s">
        <v>68</v>
      </c>
      <c r="F42" s="2">
        <v>8</v>
      </c>
      <c r="G42" s="2" t="s">
        <v>43</v>
      </c>
      <c r="H42" s="4">
        <v>18.399999999999999</v>
      </c>
      <c r="I42" s="2" t="s">
        <v>64</v>
      </c>
      <c r="J42" s="2" t="s">
        <v>26</v>
      </c>
      <c r="K42" s="2" t="s">
        <v>137</v>
      </c>
      <c r="L42" s="2">
        <v>8</v>
      </c>
      <c r="M42" s="4">
        <v>147.19999999999999</v>
      </c>
      <c r="N42" s="4" t="s">
        <v>37</v>
      </c>
      <c r="O42" s="8"/>
      <c r="P42" s="7"/>
      <c r="Q42" s="7"/>
      <c r="R42" s="2" t="s">
        <v>38</v>
      </c>
    </row>
    <row r="43" spans="1:18" ht="12" customHeight="1">
      <c r="A43" s="2" t="s">
        <v>138</v>
      </c>
      <c r="B43" s="3">
        <v>46278</v>
      </c>
      <c r="C43" s="2" t="s">
        <v>40</v>
      </c>
      <c r="D43" s="2" t="s">
        <v>71</v>
      </c>
      <c r="E43" s="2" t="s">
        <v>72</v>
      </c>
      <c r="F43" s="2">
        <v>10</v>
      </c>
      <c r="G43" s="2" t="s">
        <v>73</v>
      </c>
      <c r="H43" s="4">
        <v>15.25</v>
      </c>
      <c r="I43" s="2" t="s">
        <v>74</v>
      </c>
      <c r="J43" s="2" t="s">
        <v>26</v>
      </c>
      <c r="K43" s="2" t="s">
        <v>139</v>
      </c>
      <c r="L43" s="2">
        <v>10</v>
      </c>
      <c r="M43" s="4">
        <v>152.5</v>
      </c>
      <c r="N43" s="4" t="s">
        <v>28</v>
      </c>
      <c r="O43" s="8"/>
      <c r="P43" s="7"/>
      <c r="Q43" s="7"/>
      <c r="R43" s="2" t="s">
        <v>29</v>
      </c>
    </row>
    <row r="44" spans="1:18" ht="12" customHeight="1">
      <c r="A44" s="2" t="s">
        <v>140</v>
      </c>
      <c r="B44" s="3">
        <v>46279</v>
      </c>
      <c r="C44" s="2" t="s">
        <v>21</v>
      </c>
      <c r="D44" s="2" t="s">
        <v>77</v>
      </c>
      <c r="E44" s="2" t="s">
        <v>78</v>
      </c>
      <c r="F44" s="2">
        <v>12</v>
      </c>
      <c r="G44" s="2" t="s">
        <v>48</v>
      </c>
      <c r="H44" s="4">
        <v>8.9499999999999993</v>
      </c>
      <c r="I44" s="2" t="s">
        <v>49</v>
      </c>
      <c r="J44" s="2" t="s">
        <v>26</v>
      </c>
      <c r="K44" s="2" t="s">
        <v>141</v>
      </c>
      <c r="L44" s="2">
        <v>12</v>
      </c>
      <c r="M44" s="4">
        <v>107.4</v>
      </c>
      <c r="N44" s="4" t="s">
        <v>51</v>
      </c>
      <c r="O44" s="8"/>
      <c r="P44" s="7"/>
      <c r="Q44" s="7"/>
      <c r="R44" s="2" t="s">
        <v>52</v>
      </c>
    </row>
    <row r="45" spans="1:18" ht="12" customHeight="1">
      <c r="A45" s="2" t="s">
        <v>142</v>
      </c>
      <c r="B45" s="3">
        <v>46279</v>
      </c>
      <c r="C45" s="2" t="s">
        <v>31</v>
      </c>
      <c r="D45" s="2" t="s">
        <v>22</v>
      </c>
      <c r="E45" s="2" t="s">
        <v>23</v>
      </c>
      <c r="F45" s="2">
        <v>15</v>
      </c>
      <c r="G45" s="2" t="s">
        <v>24</v>
      </c>
      <c r="H45" s="4">
        <v>8.75</v>
      </c>
      <c r="I45" s="2" t="s">
        <v>25</v>
      </c>
      <c r="J45" s="2" t="s">
        <v>26</v>
      </c>
      <c r="K45" s="2" t="s">
        <v>143</v>
      </c>
      <c r="L45" s="2">
        <v>15</v>
      </c>
      <c r="M45" s="4">
        <v>131.25</v>
      </c>
      <c r="N45" s="4" t="s">
        <v>28</v>
      </c>
      <c r="O45" s="8"/>
      <c r="P45" s="7"/>
      <c r="Q45" s="7"/>
      <c r="R45" s="2" t="s">
        <v>29</v>
      </c>
    </row>
    <row r="46" spans="1:18" ht="12" customHeight="1">
      <c r="A46" s="2" t="s">
        <v>144</v>
      </c>
      <c r="B46" s="3">
        <v>46279</v>
      </c>
      <c r="C46" s="2" t="s">
        <v>40</v>
      </c>
      <c r="D46" s="2" t="s">
        <v>32</v>
      </c>
      <c r="E46" s="2" t="s">
        <v>33</v>
      </c>
      <c r="F46" s="2">
        <v>20</v>
      </c>
      <c r="G46" s="2" t="s">
        <v>34</v>
      </c>
      <c r="H46" s="4">
        <v>4.25</v>
      </c>
      <c r="I46" s="2" t="s">
        <v>35</v>
      </c>
      <c r="J46" s="2" t="s">
        <v>26</v>
      </c>
      <c r="K46" s="2" t="s">
        <v>145</v>
      </c>
      <c r="L46" s="2">
        <v>20</v>
      </c>
      <c r="M46" s="4">
        <v>0</v>
      </c>
      <c r="N46" s="4" t="s">
        <v>28</v>
      </c>
      <c r="O46" s="8"/>
      <c r="P46" s="7"/>
      <c r="Q46" s="7"/>
      <c r="R46" s="2" t="s">
        <v>146</v>
      </c>
    </row>
    <row r="47" spans="1:18" ht="12" customHeight="1">
      <c r="A47" s="2" t="s">
        <v>147</v>
      </c>
      <c r="B47" s="3">
        <v>46280</v>
      </c>
      <c r="C47" s="2" t="s">
        <v>21</v>
      </c>
      <c r="D47" s="2" t="s">
        <v>41</v>
      </c>
      <c r="E47" s="2" t="s">
        <v>42</v>
      </c>
      <c r="F47" s="2">
        <v>4</v>
      </c>
      <c r="G47" s="2" t="s">
        <v>43</v>
      </c>
      <c r="H47" s="4">
        <v>29.5</v>
      </c>
      <c r="I47" s="2" t="s">
        <v>35</v>
      </c>
      <c r="J47" s="2" t="s">
        <v>26</v>
      </c>
      <c r="K47" s="2" t="s">
        <v>148</v>
      </c>
      <c r="L47" s="2">
        <v>4</v>
      </c>
      <c r="M47" s="4">
        <v>118</v>
      </c>
      <c r="N47" s="4" t="s">
        <v>28</v>
      </c>
      <c r="O47" s="8"/>
      <c r="P47" s="7"/>
      <c r="Q47" s="7"/>
      <c r="R47" s="2" t="s">
        <v>29</v>
      </c>
    </row>
    <row r="48" spans="1:18" ht="12" customHeight="1">
      <c r="A48" s="2" t="s">
        <v>149</v>
      </c>
      <c r="B48" s="3">
        <v>46280</v>
      </c>
      <c r="C48" s="2" t="s">
        <v>31</v>
      </c>
      <c r="D48" s="2" t="s">
        <v>46</v>
      </c>
      <c r="E48" s="2" t="s">
        <v>47</v>
      </c>
      <c r="F48" s="2">
        <v>6</v>
      </c>
      <c r="G48" s="2" t="s">
        <v>48</v>
      </c>
      <c r="H48" s="4">
        <v>7.8</v>
      </c>
      <c r="I48" s="2" t="s">
        <v>49</v>
      </c>
      <c r="J48" s="2" t="s">
        <v>26</v>
      </c>
      <c r="K48" s="2" t="s">
        <v>150</v>
      </c>
      <c r="L48" s="2">
        <v>6</v>
      </c>
      <c r="M48" s="4">
        <v>46.8</v>
      </c>
      <c r="N48" s="4" t="s">
        <v>51</v>
      </c>
      <c r="O48" s="8"/>
      <c r="P48" s="7"/>
      <c r="Q48" s="7"/>
      <c r="R48" s="2" t="s">
        <v>52</v>
      </c>
    </row>
    <row r="49" spans="1:18" ht="12" customHeight="1">
      <c r="A49" s="2" t="s">
        <v>151</v>
      </c>
      <c r="B49" s="3">
        <v>46280</v>
      </c>
      <c r="C49" s="2" t="s">
        <v>40</v>
      </c>
      <c r="D49" s="2" t="s">
        <v>54</v>
      </c>
      <c r="E49" s="2" t="s">
        <v>55</v>
      </c>
      <c r="F49" s="2">
        <v>8</v>
      </c>
      <c r="G49" s="2" t="s">
        <v>43</v>
      </c>
      <c r="H49" s="4">
        <v>42</v>
      </c>
      <c r="I49" s="2" t="s">
        <v>56</v>
      </c>
      <c r="J49" s="2" t="s">
        <v>26</v>
      </c>
      <c r="K49" s="2" t="s">
        <v>152</v>
      </c>
      <c r="L49" s="2">
        <v>8</v>
      </c>
      <c r="M49" s="4">
        <v>336</v>
      </c>
      <c r="N49" s="4" t="s">
        <v>28</v>
      </c>
      <c r="O49" s="8"/>
      <c r="P49" s="7"/>
      <c r="Q49" s="7"/>
      <c r="R49" s="2" t="s">
        <v>29</v>
      </c>
    </row>
    <row r="50" spans="1:18" ht="12" customHeight="1">
      <c r="A50" s="2" t="s">
        <v>153</v>
      </c>
      <c r="B50" s="3">
        <v>46281</v>
      </c>
      <c r="C50" s="2" t="s">
        <v>21</v>
      </c>
      <c r="D50" s="2" t="s">
        <v>58</v>
      </c>
      <c r="E50" s="2" t="s">
        <v>59</v>
      </c>
      <c r="F50" s="2">
        <v>10</v>
      </c>
      <c r="G50" s="2" t="s">
        <v>43</v>
      </c>
      <c r="H50" s="4">
        <v>31.5</v>
      </c>
      <c r="I50" s="2" t="s">
        <v>56</v>
      </c>
      <c r="J50" s="2" t="s">
        <v>26</v>
      </c>
      <c r="K50" s="2" t="s">
        <v>154</v>
      </c>
      <c r="L50" s="2">
        <v>10</v>
      </c>
      <c r="M50" s="4">
        <v>315</v>
      </c>
      <c r="N50" s="4" t="s">
        <v>37</v>
      </c>
      <c r="O50" s="8"/>
      <c r="P50" s="7"/>
      <c r="Q50" s="7"/>
      <c r="R50" s="2" t="s">
        <v>38</v>
      </c>
    </row>
    <row r="51" spans="1:18" ht="12" customHeight="1">
      <c r="A51" s="2"/>
      <c r="B51" s="3">
        <v>46281</v>
      </c>
      <c r="C51" s="2" t="s">
        <v>31</v>
      </c>
      <c r="D51" s="2" t="s">
        <v>62</v>
      </c>
      <c r="E51" s="2" t="s">
        <v>63</v>
      </c>
      <c r="F51" s="2">
        <v>12</v>
      </c>
      <c r="G51" s="2" t="s">
        <v>43</v>
      </c>
      <c r="H51" s="4">
        <v>24.75</v>
      </c>
      <c r="I51" s="2" t="s">
        <v>64</v>
      </c>
      <c r="J51" s="2" t="s">
        <v>26</v>
      </c>
      <c r="K51" s="2" t="s">
        <v>155</v>
      </c>
      <c r="L51" s="2">
        <v>12</v>
      </c>
      <c r="M51" s="4">
        <v>297</v>
      </c>
      <c r="N51" s="4" t="s">
        <v>28</v>
      </c>
      <c r="O51" s="8"/>
      <c r="P51" s="7"/>
      <c r="Q51" s="7"/>
      <c r="R51" s="2" t="s">
        <v>156</v>
      </c>
    </row>
    <row r="52" spans="1:18" ht="12" customHeight="1">
      <c r="A52" s="2" t="s">
        <v>157</v>
      </c>
      <c r="B52" s="3">
        <v>46281</v>
      </c>
      <c r="C52" s="2" t="s">
        <v>40</v>
      </c>
      <c r="D52" s="2" t="s">
        <v>67</v>
      </c>
      <c r="E52" s="2" t="s">
        <v>68</v>
      </c>
      <c r="F52" s="2">
        <v>15</v>
      </c>
      <c r="G52" s="2" t="s">
        <v>43</v>
      </c>
      <c r="H52" s="4">
        <v>18.399999999999999</v>
      </c>
      <c r="I52" s="2" t="s">
        <v>64</v>
      </c>
      <c r="J52" s="2" t="s">
        <v>26</v>
      </c>
      <c r="K52" s="2" t="s">
        <v>158</v>
      </c>
      <c r="L52" s="2">
        <v>15</v>
      </c>
      <c r="M52" s="4">
        <v>276</v>
      </c>
      <c r="N52" s="4" t="s">
        <v>51</v>
      </c>
      <c r="O52" s="8"/>
      <c r="P52" s="7"/>
      <c r="Q52" s="7"/>
      <c r="R52" s="2" t="s">
        <v>52</v>
      </c>
    </row>
    <row r="53" spans="1:18" ht="12" customHeight="1">
      <c r="A53" s="2" t="s">
        <v>159</v>
      </c>
      <c r="B53" s="3">
        <v>46282</v>
      </c>
      <c r="C53" s="2" t="s">
        <v>21</v>
      </c>
      <c r="D53" s="2" t="s">
        <v>71</v>
      </c>
      <c r="E53" s="2" t="s">
        <v>72</v>
      </c>
      <c r="F53" s="2">
        <v>20</v>
      </c>
      <c r="G53" s="2" t="s">
        <v>73</v>
      </c>
      <c r="H53" s="4">
        <v>15.25</v>
      </c>
      <c r="I53" s="2" t="s">
        <v>74</v>
      </c>
      <c r="J53" s="2" t="s">
        <v>26</v>
      </c>
      <c r="K53" s="2" t="s">
        <v>160</v>
      </c>
      <c r="L53" s="2">
        <v>20</v>
      </c>
      <c r="M53" s="4">
        <v>305</v>
      </c>
      <c r="N53" s="4" t="s">
        <v>28</v>
      </c>
      <c r="O53" s="8"/>
      <c r="P53" s="7"/>
      <c r="Q53" s="7"/>
      <c r="R53" s="2" t="s">
        <v>29</v>
      </c>
    </row>
    <row r="54" spans="1:18" ht="12" customHeight="1">
      <c r="A54" s="2" t="s">
        <v>161</v>
      </c>
      <c r="B54" s="3">
        <v>46282</v>
      </c>
      <c r="C54" s="2" t="s">
        <v>31</v>
      </c>
      <c r="D54" s="2" t="s">
        <v>77</v>
      </c>
      <c r="E54" s="2" t="s">
        <v>78</v>
      </c>
      <c r="F54" s="2">
        <v>4</v>
      </c>
      <c r="G54" s="2" t="s">
        <v>48</v>
      </c>
      <c r="H54" s="4">
        <v>8.9499999999999993</v>
      </c>
      <c r="I54" s="2" t="s">
        <v>49</v>
      </c>
      <c r="J54" s="2" t="s">
        <v>26</v>
      </c>
      <c r="K54" s="2" t="s">
        <v>162</v>
      </c>
      <c r="L54" s="2">
        <v>4</v>
      </c>
      <c r="M54" s="4">
        <v>35.799999999999997</v>
      </c>
      <c r="N54" s="4" t="s">
        <v>37</v>
      </c>
      <c r="O54" s="8"/>
      <c r="P54" s="7"/>
      <c r="Q54" s="7"/>
      <c r="R54" s="2" t="s">
        <v>38</v>
      </c>
    </row>
    <row r="55" spans="1:18" ht="12" customHeight="1">
      <c r="A55" s="2"/>
      <c r="B55" s="2"/>
      <c r="C55" s="2"/>
      <c r="D55" s="2"/>
      <c r="E55" s="2"/>
      <c r="F55" s="2"/>
      <c r="G55" s="2"/>
      <c r="H55" s="2"/>
      <c r="I55" s="2"/>
      <c r="J55" s="2"/>
      <c r="K55" s="2"/>
      <c r="L55" s="2"/>
      <c r="M55" s="2"/>
      <c r="N55" s="2"/>
      <c r="O55" s="2"/>
      <c r="P55" s="2"/>
      <c r="Q55" s="2"/>
      <c r="R55" s="2"/>
    </row>
    <row r="56" spans="1:18" ht="126.75" customHeight="1">
      <c r="A56" s="13" t="s">
        <v>163</v>
      </c>
      <c r="B56" s="13"/>
      <c r="C56" s="13"/>
      <c r="D56" s="13"/>
      <c r="E56" s="13"/>
      <c r="F56" s="13"/>
      <c r="G56" s="13"/>
      <c r="H56" s="13"/>
      <c r="I56" s="13"/>
      <c r="J56" s="13"/>
      <c r="K56" s="13"/>
      <c r="L56" s="13"/>
      <c r="M56" s="13"/>
      <c r="N56" s="13"/>
      <c r="O56" s="13"/>
      <c r="P56" s="13"/>
      <c r="Q56" s="13"/>
      <c r="R56" s="13"/>
    </row>
  </sheetData>
  <mergeCells count="3">
    <mergeCell ref="A1:R1"/>
    <mergeCell ref="A2:R2"/>
    <mergeCell ref="A56:R56"/>
  </mergeCells>
  <conditionalFormatting sqref="P5:P54">
    <cfRule type="expression" dxfId="1" priority="1">
      <formula>P5="OK"</formula>
    </cfRule>
    <cfRule type="expression" dxfId="0" priority="2">
      <formula>AND(P5&lt;&gt;"",P5&lt;&gt;"OK")</formula>
    </cfRule>
  </conditionalFormatting>
  <dataValidations count="1">
    <dataValidation type="list" sqref="Q5:Q54" xr:uid="{00000000-0002-0000-0000-000000000000}">
      <formula1>"Not reviewed,Verified,Needs correction"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topLeftCell="A16" workbookViewId="0">
      <selection sqref="A1:H1"/>
    </sheetView>
  </sheetViews>
  <sheetFormatPr defaultRowHeight="13.8"/>
  <cols>
    <col min="1" max="2" width="26" customWidth="1"/>
    <col min="3" max="3" width="34" customWidth="1"/>
    <col min="4" max="4" width="30" customWidth="1"/>
    <col min="5" max="5" width="26" customWidth="1"/>
    <col min="6" max="7" width="36" customWidth="1"/>
    <col min="8" max="8" width="30" customWidth="1"/>
  </cols>
  <sheetData>
    <row r="1" spans="1:8" ht="61.5" customHeight="1">
      <c r="A1" s="12" t="s">
        <v>164</v>
      </c>
      <c r="B1" s="12"/>
      <c r="C1" s="12"/>
      <c r="D1" s="12"/>
      <c r="E1" s="12"/>
      <c r="F1" s="12"/>
      <c r="G1" s="12"/>
      <c r="H1" s="12"/>
    </row>
    <row r="2" spans="1:8" ht="84.45" customHeight="1">
      <c r="A2" s="13" t="s">
        <v>165</v>
      </c>
      <c r="B2" s="13"/>
      <c r="C2" s="13"/>
      <c r="D2" s="13"/>
      <c r="E2" s="13"/>
      <c r="F2" s="13"/>
      <c r="G2" s="13"/>
      <c r="H2" s="13"/>
    </row>
    <row r="3" spans="1:8" ht="12" customHeight="1">
      <c r="A3" s="2"/>
      <c r="B3" s="2"/>
      <c r="C3" s="2"/>
      <c r="D3" s="2"/>
      <c r="E3" s="2"/>
      <c r="F3" s="2"/>
      <c r="G3" s="2"/>
      <c r="H3" s="2"/>
    </row>
    <row r="4" spans="1:8" ht="12" customHeight="1">
      <c r="A4" s="1" t="s">
        <v>166</v>
      </c>
      <c r="B4" s="1" t="s">
        <v>167</v>
      </c>
      <c r="C4" s="1" t="s">
        <v>168</v>
      </c>
      <c r="D4" s="1" t="s">
        <v>169</v>
      </c>
      <c r="E4" s="1" t="s">
        <v>170</v>
      </c>
      <c r="F4" s="1" t="s">
        <v>171</v>
      </c>
      <c r="G4" s="1" t="s">
        <v>172</v>
      </c>
      <c r="H4" s="1" t="s">
        <v>173</v>
      </c>
    </row>
    <row r="5" spans="1:8" ht="12" customHeight="1">
      <c r="A5" s="2" t="s">
        <v>174</v>
      </c>
      <c r="B5" s="2" t="s">
        <v>175</v>
      </c>
      <c r="C5" s="2" t="s">
        <v>176</v>
      </c>
      <c r="D5" s="2" t="s">
        <v>177</v>
      </c>
      <c r="E5" s="2" t="s">
        <v>178</v>
      </c>
      <c r="F5" s="2" t="s">
        <v>179</v>
      </c>
      <c r="G5" s="2" t="s">
        <v>180</v>
      </c>
      <c r="H5" s="7"/>
    </row>
    <row r="6" spans="1:8" ht="21.15" customHeight="1">
      <c r="A6" s="2" t="s">
        <v>181</v>
      </c>
      <c r="B6" s="2" t="s">
        <v>182</v>
      </c>
      <c r="C6" s="2" t="s">
        <v>183</v>
      </c>
      <c r="D6" s="2" t="s">
        <v>184</v>
      </c>
      <c r="E6" s="2" t="s">
        <v>185</v>
      </c>
      <c r="F6" s="2" t="s">
        <v>186</v>
      </c>
      <c r="G6" s="2" t="s">
        <v>187</v>
      </c>
      <c r="H6" s="7"/>
    </row>
    <row r="7" spans="1:8" ht="21.15" customHeight="1">
      <c r="A7" s="2" t="s">
        <v>188</v>
      </c>
      <c r="B7" s="2" t="s">
        <v>189</v>
      </c>
      <c r="C7" s="2" t="s">
        <v>190</v>
      </c>
      <c r="D7" s="2" t="s">
        <v>191</v>
      </c>
      <c r="E7" s="2" t="s">
        <v>192</v>
      </c>
      <c r="F7" s="2" t="s">
        <v>193</v>
      </c>
      <c r="G7" s="2" t="s">
        <v>194</v>
      </c>
      <c r="H7" s="7"/>
    </row>
    <row r="8" spans="1:8" ht="21.15" customHeight="1">
      <c r="A8" s="2" t="s">
        <v>195</v>
      </c>
      <c r="B8" s="2" t="s">
        <v>196</v>
      </c>
      <c r="C8" s="2" t="s">
        <v>197</v>
      </c>
      <c r="D8" s="2" t="s">
        <v>198</v>
      </c>
      <c r="E8" s="2" t="s">
        <v>199</v>
      </c>
      <c r="F8" s="2" t="s">
        <v>200</v>
      </c>
      <c r="G8" s="2" t="s">
        <v>201</v>
      </c>
      <c r="H8" s="7"/>
    </row>
    <row r="9" spans="1:8" ht="21.15" customHeight="1">
      <c r="A9" s="2" t="s">
        <v>202</v>
      </c>
      <c r="B9" s="2" t="s">
        <v>203</v>
      </c>
      <c r="C9" s="2" t="s">
        <v>204</v>
      </c>
      <c r="D9" s="2" t="s">
        <v>205</v>
      </c>
      <c r="E9" s="2" t="s">
        <v>206</v>
      </c>
      <c r="F9" s="2" t="s">
        <v>207</v>
      </c>
      <c r="G9" s="2" t="s">
        <v>208</v>
      </c>
      <c r="H9" s="7"/>
    </row>
    <row r="10" spans="1:8" ht="21.15" customHeight="1">
      <c r="A10" s="2" t="s">
        <v>209</v>
      </c>
      <c r="B10" s="2" t="s">
        <v>210</v>
      </c>
      <c r="C10" s="2" t="s">
        <v>211</v>
      </c>
      <c r="D10" s="2" t="s">
        <v>212</v>
      </c>
      <c r="E10" s="2" t="s">
        <v>213</v>
      </c>
      <c r="F10" s="2" t="s">
        <v>214</v>
      </c>
      <c r="G10" s="2" t="s">
        <v>215</v>
      </c>
      <c r="H10" s="7"/>
    </row>
    <row r="11" spans="1:8" ht="21.15" customHeight="1">
      <c r="A11" s="2" t="s">
        <v>216</v>
      </c>
      <c r="B11" s="2" t="s">
        <v>217</v>
      </c>
      <c r="C11" s="2" t="s">
        <v>218</v>
      </c>
      <c r="D11" s="2" t="s">
        <v>219</v>
      </c>
      <c r="E11" s="2" t="s">
        <v>220</v>
      </c>
      <c r="F11" s="2" t="s">
        <v>221</v>
      </c>
      <c r="G11" s="2" t="s">
        <v>222</v>
      </c>
      <c r="H11" s="7"/>
    </row>
    <row r="12" spans="1:8" ht="12" customHeight="1">
      <c r="A12" s="2"/>
      <c r="B12" s="2"/>
      <c r="C12" s="2"/>
      <c r="D12" s="2"/>
      <c r="E12" s="2"/>
      <c r="F12" s="2"/>
      <c r="G12" s="2"/>
      <c r="H12" s="2"/>
    </row>
    <row r="13" spans="1:8" ht="63.3" customHeight="1">
      <c r="A13" s="13" t="s">
        <v>223</v>
      </c>
      <c r="B13" s="13"/>
      <c r="C13" s="13"/>
      <c r="D13" s="13"/>
      <c r="E13" s="13"/>
      <c r="F13" s="13"/>
      <c r="G13" s="13"/>
      <c r="H13" s="13"/>
    </row>
  </sheetData>
  <mergeCells count="3">
    <mergeCell ref="A1:H1"/>
    <mergeCell ref="A2:H2"/>
    <mergeCell ref="A13:H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tabSelected="1" topLeftCell="A2" workbookViewId="0">
      <selection activeCell="B21" sqref="B21"/>
    </sheetView>
  </sheetViews>
  <sheetFormatPr defaultRowHeight="13.8"/>
  <cols>
    <col min="1" max="1" width="8" customWidth="1"/>
    <col min="2" max="2" width="24" customWidth="1"/>
    <col min="3" max="3" width="30" customWidth="1"/>
    <col min="4" max="4" width="34" customWidth="1"/>
    <col min="5" max="5" width="28" customWidth="1"/>
    <col min="6" max="6" width="32" customWidth="1"/>
    <col min="7" max="7" width="30" customWidth="1"/>
    <col min="8" max="8" width="24" customWidth="1"/>
    <col min="9" max="9" width="26" customWidth="1"/>
  </cols>
  <sheetData>
    <row r="1" spans="1:9" ht="21">
      <c r="A1" s="12" t="s">
        <v>224</v>
      </c>
      <c r="B1" s="12"/>
      <c r="C1" s="12"/>
      <c r="D1" s="12"/>
      <c r="E1" s="12"/>
      <c r="F1" s="12"/>
      <c r="G1" s="12"/>
      <c r="H1" s="12"/>
      <c r="I1" s="12"/>
    </row>
    <row r="2" spans="1:9">
      <c r="A2" s="13" t="s">
        <v>225</v>
      </c>
      <c r="B2" s="13"/>
      <c r="C2" s="13"/>
      <c r="D2" s="13"/>
      <c r="E2" s="13"/>
      <c r="F2" s="13"/>
      <c r="G2" s="13"/>
      <c r="H2" s="13"/>
      <c r="I2" s="13"/>
    </row>
    <row r="3" spans="1:9">
      <c r="A3" s="2"/>
      <c r="B3" s="2"/>
      <c r="C3" s="2"/>
      <c r="D3" s="2"/>
      <c r="E3" s="2"/>
      <c r="F3" s="2"/>
      <c r="G3" s="2"/>
      <c r="H3" s="2"/>
      <c r="I3" s="2"/>
    </row>
    <row r="4" spans="1:9">
      <c r="A4" s="1" t="s">
        <v>226</v>
      </c>
      <c r="B4" s="1" t="s">
        <v>227</v>
      </c>
      <c r="C4" s="1" t="s">
        <v>228</v>
      </c>
      <c r="D4" s="1" t="s">
        <v>229</v>
      </c>
      <c r="E4" s="1" t="s">
        <v>230</v>
      </c>
      <c r="F4" s="1" t="s">
        <v>169</v>
      </c>
      <c r="G4" s="1" t="s">
        <v>170</v>
      </c>
      <c r="H4" s="1" t="s">
        <v>231</v>
      </c>
      <c r="I4" s="1" t="s">
        <v>232</v>
      </c>
    </row>
    <row r="5" spans="1:9" ht="27.6">
      <c r="A5" s="2">
        <v>1</v>
      </c>
      <c r="B5" s="2" t="s">
        <v>233</v>
      </c>
      <c r="C5" s="2" t="s">
        <v>234</v>
      </c>
      <c r="D5" s="2" t="s">
        <v>235</v>
      </c>
      <c r="E5" s="2" t="s">
        <v>236</v>
      </c>
      <c r="F5" s="7" t="s">
        <v>237</v>
      </c>
      <c r="G5" s="2" t="s">
        <v>238</v>
      </c>
      <c r="H5" s="7" t="s">
        <v>239</v>
      </c>
      <c r="I5" s="7" t="s">
        <v>175</v>
      </c>
    </row>
    <row r="6" spans="1:9" ht="27.6">
      <c r="A6" s="2">
        <v>2</v>
      </c>
      <c r="B6" s="2" t="s">
        <v>240</v>
      </c>
      <c r="C6" s="2" t="s">
        <v>236</v>
      </c>
      <c r="D6" s="2" t="s">
        <v>241</v>
      </c>
      <c r="E6" s="2" t="s">
        <v>242</v>
      </c>
      <c r="F6" s="7" t="s">
        <v>243</v>
      </c>
      <c r="G6" s="2" t="s">
        <v>244</v>
      </c>
      <c r="H6" s="7" t="s">
        <v>245</v>
      </c>
      <c r="I6" s="7" t="s">
        <v>182</v>
      </c>
    </row>
    <row r="7" spans="1:9" ht="27.6">
      <c r="A7" s="2">
        <v>3</v>
      </c>
      <c r="B7" s="2" t="s">
        <v>246</v>
      </c>
      <c r="C7" s="2" t="s">
        <v>247</v>
      </c>
      <c r="D7" s="2" t="s">
        <v>248</v>
      </c>
      <c r="E7" s="2" t="s">
        <v>192</v>
      </c>
      <c r="F7" s="7" t="s">
        <v>249</v>
      </c>
      <c r="G7" s="2" t="s">
        <v>250</v>
      </c>
      <c r="H7" s="7" t="s">
        <v>251</v>
      </c>
      <c r="I7" s="7" t="s">
        <v>189</v>
      </c>
    </row>
    <row r="8" spans="1:9" ht="27.6">
      <c r="A8" s="2">
        <v>4</v>
      </c>
      <c r="B8" s="2" t="s">
        <v>252</v>
      </c>
      <c r="C8" s="2" t="s">
        <v>253</v>
      </c>
      <c r="D8" s="2" t="s">
        <v>254</v>
      </c>
      <c r="E8" s="2" t="s">
        <v>255</v>
      </c>
      <c r="F8" s="7" t="s">
        <v>198</v>
      </c>
      <c r="G8" s="2" t="s">
        <v>256</v>
      </c>
      <c r="H8" s="7" t="s">
        <v>257</v>
      </c>
      <c r="I8" s="7" t="s">
        <v>196</v>
      </c>
    </row>
    <row r="9" spans="1:9" ht="27.6">
      <c r="A9" s="2">
        <v>5</v>
      </c>
      <c r="B9" s="2" t="s">
        <v>258</v>
      </c>
      <c r="C9" s="2" t="s">
        <v>259</v>
      </c>
      <c r="D9" s="2" t="s">
        <v>260</v>
      </c>
      <c r="E9" s="2" t="s">
        <v>261</v>
      </c>
      <c r="F9" s="7" t="s">
        <v>262</v>
      </c>
      <c r="G9" s="2" t="s">
        <v>206</v>
      </c>
      <c r="H9" s="7" t="s">
        <v>263</v>
      </c>
      <c r="I9" s="7" t="s">
        <v>203</v>
      </c>
    </row>
    <row r="10" spans="1:9" ht="27.6">
      <c r="A10" s="2">
        <v>6</v>
      </c>
      <c r="B10" s="2" t="s">
        <v>264</v>
      </c>
      <c r="C10" s="2" t="s">
        <v>265</v>
      </c>
      <c r="D10" s="2" t="s">
        <v>266</v>
      </c>
      <c r="E10" s="2" t="s">
        <v>267</v>
      </c>
      <c r="F10" s="7" t="s">
        <v>268</v>
      </c>
      <c r="G10" s="2" t="s">
        <v>213</v>
      </c>
      <c r="H10" s="7" t="s">
        <v>269</v>
      </c>
      <c r="I10" s="7" t="s">
        <v>210</v>
      </c>
    </row>
    <row r="11" spans="1:9" ht="27.6">
      <c r="A11" s="2">
        <v>7</v>
      </c>
      <c r="B11" s="2" t="s">
        <v>270</v>
      </c>
      <c r="C11" s="2" t="s">
        <v>213</v>
      </c>
      <c r="D11" s="2" t="s">
        <v>271</v>
      </c>
      <c r="E11" s="2" t="s">
        <v>272</v>
      </c>
      <c r="F11" s="7" t="s">
        <v>273</v>
      </c>
      <c r="G11" s="2" t="s">
        <v>274</v>
      </c>
      <c r="H11" s="7" t="s">
        <v>275</v>
      </c>
      <c r="I11" s="7" t="s">
        <v>276</v>
      </c>
    </row>
    <row r="12" spans="1:9">
      <c r="A12" s="2"/>
      <c r="B12" s="2"/>
      <c r="C12" s="2"/>
      <c r="D12" s="2"/>
      <c r="E12" s="2"/>
      <c r="F12" s="2"/>
      <c r="G12" s="2"/>
      <c r="H12" s="2"/>
      <c r="I12" s="2"/>
    </row>
    <row r="13" spans="1:9">
      <c r="A13" s="13" t="s">
        <v>277</v>
      </c>
      <c r="B13" s="13"/>
      <c r="C13" s="13"/>
      <c r="D13" s="13"/>
      <c r="E13" s="13"/>
      <c r="F13" s="13"/>
      <c r="G13" s="13"/>
      <c r="H13" s="13"/>
      <c r="I13" s="13"/>
    </row>
  </sheetData>
  <mergeCells count="3">
    <mergeCell ref="A1:I1"/>
    <mergeCell ref="A2:I2"/>
    <mergeCell ref="A13:I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
  <sheetViews>
    <sheetView workbookViewId="0"/>
  </sheetViews>
  <sheetFormatPr defaultRowHeight="13.8"/>
  <cols>
    <col min="1" max="1" width="34" customWidth="1"/>
    <col min="2" max="2" width="12" customWidth="1"/>
    <col min="3" max="3" width="14" customWidth="1"/>
    <col min="4" max="4" width="16" customWidth="1"/>
    <col min="5" max="5" width="34" customWidth="1"/>
    <col min="6" max="6" width="36" customWidth="1"/>
    <col min="7" max="7" width="34" customWidth="1"/>
    <col min="8" max="8" width="22" customWidth="1"/>
  </cols>
  <sheetData>
    <row r="1" spans="1:8" ht="30.75" customHeight="1">
      <c r="A1" s="12" t="s">
        <v>278</v>
      </c>
      <c r="B1" s="12"/>
      <c r="C1" s="12"/>
      <c r="D1" s="12"/>
      <c r="E1" s="12"/>
      <c r="F1" s="12"/>
      <c r="G1" s="12"/>
      <c r="H1" s="12"/>
    </row>
    <row r="2" spans="1:8" ht="52.8" customHeight="1">
      <c r="A2" s="13" t="s">
        <v>279</v>
      </c>
      <c r="B2" s="13"/>
      <c r="C2" s="13"/>
      <c r="D2" s="13"/>
      <c r="E2" s="13"/>
      <c r="F2" s="13"/>
      <c r="G2" s="13"/>
      <c r="H2" s="13"/>
    </row>
    <row r="3" spans="1:8" ht="12" customHeight="1">
      <c r="A3" s="2"/>
      <c r="B3" s="2"/>
      <c r="C3" s="2"/>
      <c r="D3" s="2"/>
      <c r="E3" s="2"/>
      <c r="F3" s="2"/>
      <c r="G3" s="2"/>
      <c r="H3" s="2"/>
    </row>
    <row r="4" spans="1:8" ht="12" customHeight="1">
      <c r="A4" s="1" t="s">
        <v>280</v>
      </c>
      <c r="B4" s="1" t="s">
        <v>281</v>
      </c>
      <c r="C4" s="1" t="s">
        <v>282</v>
      </c>
      <c r="D4" s="1" t="s">
        <v>283</v>
      </c>
      <c r="E4" s="1" t="s">
        <v>284</v>
      </c>
      <c r="F4" s="1" t="s">
        <v>285</v>
      </c>
      <c r="G4" s="1" t="s">
        <v>286</v>
      </c>
      <c r="H4" s="1" t="s">
        <v>287</v>
      </c>
    </row>
    <row r="5" spans="1:8" ht="12" customHeight="1">
      <c r="A5" s="2" t="s">
        <v>288</v>
      </c>
      <c r="B5" s="9">
        <v>0.12</v>
      </c>
      <c r="C5" s="7">
        <v>3</v>
      </c>
      <c r="D5" s="10">
        <f t="shared" ref="D5:D14" si="0">B5*C5</f>
        <v>0.36</v>
      </c>
      <c r="E5" s="2" t="s">
        <v>289</v>
      </c>
      <c r="F5" s="2" t="s">
        <v>290</v>
      </c>
      <c r="G5" s="7"/>
      <c r="H5" s="2" t="s">
        <v>291</v>
      </c>
    </row>
    <row r="6" spans="1:8" ht="12" customHeight="1">
      <c r="A6" s="2" t="s">
        <v>292</v>
      </c>
      <c r="B6" s="9">
        <v>0.1</v>
      </c>
      <c r="C6" s="7">
        <v>3</v>
      </c>
      <c r="D6" s="10">
        <f t="shared" si="0"/>
        <v>0.30000000000000004</v>
      </c>
      <c r="E6" s="2" t="s">
        <v>293</v>
      </c>
      <c r="F6" s="2" t="s">
        <v>294</v>
      </c>
      <c r="G6" s="7"/>
      <c r="H6" s="2" t="s">
        <v>175</v>
      </c>
    </row>
    <row r="7" spans="1:8" ht="12" customHeight="1">
      <c r="A7" s="2" t="s">
        <v>295</v>
      </c>
      <c r="B7" s="9">
        <v>0.1</v>
      </c>
      <c r="C7" s="7">
        <v>4</v>
      </c>
      <c r="D7" s="10">
        <f t="shared" si="0"/>
        <v>0.4</v>
      </c>
      <c r="E7" s="2" t="s">
        <v>296</v>
      </c>
      <c r="F7" s="2" t="s">
        <v>297</v>
      </c>
      <c r="G7" s="7"/>
      <c r="H7" s="2" t="s">
        <v>298</v>
      </c>
    </row>
    <row r="8" spans="1:8" ht="12" customHeight="1">
      <c r="A8" s="2" t="s">
        <v>299</v>
      </c>
      <c r="B8" s="9">
        <v>0.12</v>
      </c>
      <c r="C8" s="7">
        <v>3</v>
      </c>
      <c r="D8" s="10">
        <f t="shared" si="0"/>
        <v>0.36</v>
      </c>
      <c r="E8" s="2" t="s">
        <v>300</v>
      </c>
      <c r="F8" s="2" t="s">
        <v>301</v>
      </c>
      <c r="G8" s="7"/>
      <c r="H8" s="2" t="s">
        <v>302</v>
      </c>
    </row>
    <row r="9" spans="1:8" ht="12" customHeight="1">
      <c r="A9" s="2" t="s">
        <v>303</v>
      </c>
      <c r="B9" s="9">
        <v>0.1</v>
      </c>
      <c r="C9" s="7">
        <v>2</v>
      </c>
      <c r="D9" s="10">
        <f t="shared" si="0"/>
        <v>0.2</v>
      </c>
      <c r="E9" s="2" t="s">
        <v>304</v>
      </c>
      <c r="F9" s="2" t="s">
        <v>305</v>
      </c>
      <c r="G9" s="7"/>
      <c r="H9" s="2" t="s">
        <v>306</v>
      </c>
    </row>
    <row r="10" spans="1:8" ht="12" customHeight="1">
      <c r="A10" s="2" t="s">
        <v>307</v>
      </c>
      <c r="B10" s="9">
        <v>0.12</v>
      </c>
      <c r="C10" s="7">
        <v>3</v>
      </c>
      <c r="D10" s="10">
        <f t="shared" si="0"/>
        <v>0.36</v>
      </c>
      <c r="E10" s="2" t="s">
        <v>308</v>
      </c>
      <c r="F10" s="2" t="s">
        <v>309</v>
      </c>
      <c r="G10" s="7"/>
      <c r="H10" s="2" t="s">
        <v>310</v>
      </c>
    </row>
    <row r="11" spans="1:8" ht="12" customHeight="1">
      <c r="A11" s="2" t="s">
        <v>311</v>
      </c>
      <c r="B11" s="9">
        <v>0.1</v>
      </c>
      <c r="C11" s="7">
        <v>3</v>
      </c>
      <c r="D11" s="10">
        <f t="shared" si="0"/>
        <v>0.30000000000000004</v>
      </c>
      <c r="E11" s="2" t="s">
        <v>312</v>
      </c>
      <c r="F11" s="2" t="s">
        <v>313</v>
      </c>
      <c r="G11" s="7"/>
      <c r="H11" s="2" t="s">
        <v>314</v>
      </c>
    </row>
    <row r="12" spans="1:8" ht="12" customHeight="1">
      <c r="A12" s="2" t="s">
        <v>315</v>
      </c>
      <c r="B12" s="9">
        <v>0.1</v>
      </c>
      <c r="C12" s="7">
        <v>2</v>
      </c>
      <c r="D12" s="10">
        <f t="shared" si="0"/>
        <v>0.2</v>
      </c>
      <c r="E12" s="2" t="s">
        <v>316</v>
      </c>
      <c r="F12" s="2" t="s">
        <v>317</v>
      </c>
      <c r="G12" s="7"/>
      <c r="H12" s="2" t="s">
        <v>318</v>
      </c>
    </row>
    <row r="13" spans="1:8" ht="21.15" customHeight="1">
      <c r="A13" s="2" t="s">
        <v>319</v>
      </c>
      <c r="B13" s="9">
        <v>7.0000000000000007E-2</v>
      </c>
      <c r="C13" s="7">
        <v>2</v>
      </c>
      <c r="D13" s="10">
        <f t="shared" si="0"/>
        <v>0.14000000000000001</v>
      </c>
      <c r="E13" s="2" t="s">
        <v>320</v>
      </c>
      <c r="F13" s="2" t="s">
        <v>321</v>
      </c>
      <c r="G13" s="7"/>
      <c r="H13" s="2" t="s">
        <v>322</v>
      </c>
    </row>
    <row r="14" spans="1:8" ht="12" customHeight="1">
      <c r="A14" s="2" t="s">
        <v>323</v>
      </c>
      <c r="B14" s="9">
        <v>7.0000000000000007E-2</v>
      </c>
      <c r="C14" s="7">
        <v>4</v>
      </c>
      <c r="D14" s="10">
        <f t="shared" si="0"/>
        <v>0.28000000000000003</v>
      </c>
      <c r="E14" s="2" t="s">
        <v>324</v>
      </c>
      <c r="F14" s="2" t="s">
        <v>325</v>
      </c>
      <c r="G14" s="7"/>
      <c r="H14" s="2" t="s">
        <v>326</v>
      </c>
    </row>
    <row r="15" spans="1:8" ht="12" customHeight="1">
      <c r="A15" s="2" t="s">
        <v>327</v>
      </c>
      <c r="B15" s="2"/>
      <c r="C15" s="2"/>
      <c r="D15" s="10">
        <f>SUM(D5:D14)</f>
        <v>2.9000000000000004</v>
      </c>
      <c r="E15" s="2"/>
      <c r="F15" s="2"/>
      <c r="G15" s="2"/>
      <c r="H15" s="2"/>
    </row>
    <row r="16" spans="1:8" ht="12" customHeight="1">
      <c r="A16" s="2"/>
      <c r="B16" s="2"/>
      <c r="C16" s="2"/>
      <c r="D16" s="2"/>
      <c r="E16" s="2"/>
      <c r="F16" s="2"/>
      <c r="G16" s="2"/>
      <c r="H16" s="2"/>
    </row>
    <row r="17" spans="1:8" ht="12" customHeight="1">
      <c r="A17" s="2" t="s">
        <v>328</v>
      </c>
      <c r="B17" s="2">
        <v>5</v>
      </c>
      <c r="C17" s="2"/>
      <c r="D17" s="2"/>
      <c r="E17" s="2"/>
      <c r="F17" s="2"/>
      <c r="G17" s="2"/>
      <c r="H17" s="2"/>
    </row>
    <row r="18" spans="1:8" ht="12" customHeight="1">
      <c r="A18" s="2" t="s">
        <v>329</v>
      </c>
      <c r="B18" s="11">
        <f>D15/B17</f>
        <v>0.58000000000000007</v>
      </c>
      <c r="C18" s="2"/>
      <c r="D18" s="2"/>
      <c r="E18" s="2"/>
      <c r="F18" s="2"/>
      <c r="G18" s="2"/>
      <c r="H18" s="2"/>
    </row>
    <row r="19" spans="1:8" ht="21.15" customHeight="1">
      <c r="A19" s="2" t="s">
        <v>330</v>
      </c>
      <c r="B19" s="2" t="str">
        <f>IF(B18&gt;=0.8,"Ready for controlled pilot",IF(B18&gt;=0.65,"Pilot after targeted improvements","Not ready for pilot"))</f>
        <v>Not ready for pilot</v>
      </c>
      <c r="C19" s="2"/>
      <c r="D19" s="2"/>
      <c r="E19" s="2"/>
      <c r="F19" s="2"/>
      <c r="G19" s="2"/>
      <c r="H19" s="2"/>
    </row>
    <row r="20" spans="1:8" ht="52.8" customHeight="1">
      <c r="A20" s="2" t="s">
        <v>331</v>
      </c>
      <c r="B20" s="2" t="str">
        <f>IF(B18&gt;=0.8,"Proceed with limited scope, testing, and review",IF(B18&gt;=0.65,"Correct highest-risk gaps before pilot","Strengthen data, process, training, and governance first"))</f>
        <v>Strengthen data, process, training, and governance first</v>
      </c>
      <c r="C20" s="2"/>
      <c r="D20" s="2"/>
      <c r="E20" s="2"/>
      <c r="F20" s="2"/>
      <c r="G20" s="2"/>
      <c r="H20" s="2"/>
    </row>
  </sheetData>
  <mergeCells count="2">
    <mergeCell ref="A1:H1"/>
    <mergeCell ref="A2:H2"/>
  </mergeCells>
  <conditionalFormatting sqref="C5:C14">
    <cfRule type="colorScale" priority="1">
      <colorScale>
        <cfvo type="min"/>
        <cfvo type="percentile" val="50"/>
        <cfvo type="max"/>
        <color rgb="FFFEE2E2"/>
        <color rgb="FFFEF3C7"/>
        <color rgb="FFDCFCE7"/>
      </colorScale>
    </cfRule>
  </conditionalFormatting>
  <dataValidations count="1">
    <dataValidation type="list" sqref="C5:C14" xr:uid="{00000000-0002-0000-0300-000000000000}">
      <formula1>"1,2,3,4,5"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sheetViews>
  <sheetFormatPr defaultRowHeight="13.8"/>
  <cols>
    <col min="1" max="1" width="26" customWidth="1"/>
    <col min="2" max="2" width="38" customWidth="1"/>
    <col min="3" max="3" width="34" customWidth="1"/>
    <col min="4" max="4" width="36" customWidth="1"/>
    <col min="5" max="5" width="32" customWidth="1"/>
  </cols>
  <sheetData>
    <row r="1" spans="1:5" ht="46.05" customHeight="1">
      <c r="A1" s="12" t="s">
        <v>332</v>
      </c>
      <c r="B1" s="12"/>
      <c r="C1" s="12"/>
      <c r="D1" s="12"/>
      <c r="E1" s="12"/>
    </row>
    <row r="2" spans="1:5" ht="12" customHeight="1">
      <c r="A2" s="2"/>
      <c r="B2" s="2"/>
      <c r="C2" s="2"/>
      <c r="D2" s="2"/>
      <c r="E2" s="2"/>
    </row>
    <row r="3" spans="1:5" ht="12" customHeight="1">
      <c r="A3" s="1" t="s">
        <v>333</v>
      </c>
      <c r="B3" s="1" t="s">
        <v>334</v>
      </c>
      <c r="C3" s="1" t="s">
        <v>335</v>
      </c>
      <c r="D3" s="1" t="s">
        <v>336</v>
      </c>
      <c r="E3" s="1" t="s">
        <v>337</v>
      </c>
    </row>
    <row r="4" spans="1:5" ht="21.15" customHeight="1">
      <c r="A4" s="2" t="s">
        <v>338</v>
      </c>
      <c r="B4" s="2" t="s">
        <v>339</v>
      </c>
      <c r="C4" s="2" t="s">
        <v>340</v>
      </c>
      <c r="D4" s="2" t="s">
        <v>341</v>
      </c>
      <c r="E4" s="2" t="s">
        <v>342</v>
      </c>
    </row>
    <row r="5" spans="1:5" ht="21.15" customHeight="1">
      <c r="A5" s="2" t="s">
        <v>343</v>
      </c>
      <c r="B5" s="2" t="s">
        <v>344</v>
      </c>
      <c r="C5" s="2" t="s">
        <v>345</v>
      </c>
      <c r="D5" s="2" t="s">
        <v>346</v>
      </c>
      <c r="E5" s="2" t="s">
        <v>347</v>
      </c>
    </row>
    <row r="6" spans="1:5" ht="21.15" customHeight="1">
      <c r="A6" s="2" t="s">
        <v>348</v>
      </c>
      <c r="B6" s="2" t="s">
        <v>349</v>
      </c>
      <c r="C6" s="2" t="s">
        <v>350</v>
      </c>
      <c r="D6" s="2" t="s">
        <v>351</v>
      </c>
      <c r="E6" s="2" t="s">
        <v>352</v>
      </c>
    </row>
    <row r="7" spans="1:5" ht="21.15" customHeight="1">
      <c r="A7" s="2" t="s">
        <v>353</v>
      </c>
      <c r="B7" s="2" t="s">
        <v>354</v>
      </c>
      <c r="C7" s="2" t="s">
        <v>355</v>
      </c>
      <c r="D7" s="2" t="s">
        <v>356</v>
      </c>
      <c r="E7" s="2" t="s">
        <v>357</v>
      </c>
    </row>
    <row r="8" spans="1:5" ht="21.15" customHeight="1">
      <c r="A8" s="2" t="s">
        <v>358</v>
      </c>
      <c r="B8" s="2" t="s">
        <v>359</v>
      </c>
      <c r="C8" s="2" t="s">
        <v>360</v>
      </c>
      <c r="D8" s="2" t="s">
        <v>361</v>
      </c>
      <c r="E8" s="2" t="s">
        <v>362</v>
      </c>
    </row>
    <row r="9" spans="1:5" ht="12" customHeight="1">
      <c r="A9" s="2" t="s">
        <v>363</v>
      </c>
      <c r="B9" s="2" t="s">
        <v>364</v>
      </c>
      <c r="C9" s="2" t="s">
        <v>365</v>
      </c>
      <c r="D9" s="2" t="s">
        <v>366</v>
      </c>
      <c r="E9" s="2" t="s">
        <v>367</v>
      </c>
    </row>
    <row r="10" spans="1:5" ht="21.15" customHeight="1">
      <c r="A10" s="2" t="s">
        <v>368</v>
      </c>
      <c r="B10" s="2" t="s">
        <v>369</v>
      </c>
      <c r="C10" s="2" t="s">
        <v>370</v>
      </c>
      <c r="D10" s="2" t="s">
        <v>371</v>
      </c>
      <c r="E10" s="2" t="s">
        <v>372</v>
      </c>
    </row>
    <row r="11" spans="1:5" ht="21.15" customHeight="1">
      <c r="A11" s="2" t="s">
        <v>373</v>
      </c>
      <c r="B11" s="2" t="s">
        <v>374</v>
      </c>
      <c r="C11" s="2" t="s">
        <v>375</v>
      </c>
      <c r="D11" s="2" t="s">
        <v>376</v>
      </c>
      <c r="E11" s="2" t="s">
        <v>377</v>
      </c>
    </row>
    <row r="12" spans="1:5" ht="21.15" customHeight="1">
      <c r="A12" s="2" t="s">
        <v>378</v>
      </c>
      <c r="B12" s="2" t="s">
        <v>379</v>
      </c>
      <c r="C12" s="2" t="s">
        <v>380</v>
      </c>
      <c r="D12" s="2" t="s">
        <v>381</v>
      </c>
      <c r="E12" s="2" t="s">
        <v>382</v>
      </c>
    </row>
    <row r="13" spans="1:5" ht="21.15" customHeight="1">
      <c r="A13" s="2" t="s">
        <v>383</v>
      </c>
      <c r="B13" s="2" t="s">
        <v>384</v>
      </c>
      <c r="C13" s="2" t="s">
        <v>385</v>
      </c>
      <c r="D13" s="2" t="s">
        <v>386</v>
      </c>
      <c r="E13" s="2" t="s">
        <v>387</v>
      </c>
    </row>
    <row r="14" spans="1:5" ht="21.15" customHeight="1">
      <c r="A14" s="2" t="s">
        <v>302</v>
      </c>
      <c r="B14" s="2" t="s">
        <v>388</v>
      </c>
      <c r="C14" s="2" t="s">
        <v>389</v>
      </c>
      <c r="D14" s="2" t="s">
        <v>390</v>
      </c>
      <c r="E14" s="2" t="s">
        <v>391</v>
      </c>
    </row>
    <row r="15" spans="1:5" ht="21.15" customHeight="1">
      <c r="A15" s="2" t="s">
        <v>392</v>
      </c>
      <c r="B15" s="2" t="s">
        <v>393</v>
      </c>
      <c r="C15" s="2" t="s">
        <v>394</v>
      </c>
      <c r="D15" s="2" t="s">
        <v>395</v>
      </c>
      <c r="E15" s="2" t="s">
        <v>396</v>
      </c>
    </row>
    <row r="16" spans="1:5" ht="21.15" customHeight="1">
      <c r="A16" s="2" t="s">
        <v>397</v>
      </c>
      <c r="B16" s="2" t="s">
        <v>398</v>
      </c>
      <c r="C16" s="2" t="s">
        <v>399</v>
      </c>
      <c r="D16" s="2" t="s">
        <v>400</v>
      </c>
      <c r="E16" s="2" t="s">
        <v>401</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1-TransactionProcessing</vt:lpstr>
      <vt:lpstr>2-IntegratedUpdates</vt:lpstr>
      <vt:lpstr>3-ProcureToPayProcess</vt:lpstr>
      <vt:lpstr>4-ERPReadiness</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Paulson, Patrick G</cp:lastModifiedBy>
  <dcterms:modified xsi:type="dcterms:W3CDTF">2026-08-01T17:43:37Z</dcterms:modified>
</cp:coreProperties>
</file>